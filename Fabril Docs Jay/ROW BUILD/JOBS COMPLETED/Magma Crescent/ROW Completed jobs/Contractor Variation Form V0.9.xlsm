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(Cost)'!$A$1:$G$35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0" i="4"/>
  <c r="F29" i="4"/>
  <c r="F28" i="4"/>
  <c r="F27" i="4"/>
  <c r="F26" i="4"/>
  <c r="F25" i="4"/>
  <c r="F24" i="4"/>
  <c r="F15" i="4"/>
  <c r="F16" i="4"/>
  <c r="F17" i="4"/>
  <c r="F18" i="4"/>
  <c r="F19" i="4"/>
  <c r="F20" i="4"/>
  <c r="F21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31" i="4"/>
  <c r="B31" i="4"/>
  <c r="C30" i="4"/>
  <c r="B30" i="4"/>
  <c r="C29" i="4"/>
  <c r="B29" i="4"/>
  <c r="C28" i="4"/>
  <c r="C27" i="4"/>
  <c r="C26" i="4"/>
  <c r="C25" i="4"/>
  <c r="C24" i="4"/>
  <c r="C21" i="4"/>
  <c r="C20" i="4"/>
  <c r="C19" i="4"/>
  <c r="C18" i="4"/>
  <c r="B28" i="4"/>
  <c r="B27" i="4"/>
  <c r="B26" i="4"/>
  <c r="B25" i="4"/>
  <c r="B24" i="4"/>
  <c r="B21" i="4"/>
  <c r="B20" i="4"/>
  <c r="G31" i="4"/>
  <c r="G30" i="4"/>
  <c r="G29" i="4"/>
  <c r="G21" i="4"/>
  <c r="G20" i="4"/>
  <c r="G27" i="4"/>
  <c r="G24" i="4"/>
  <c r="I15" i="4"/>
  <c r="I16" i="4"/>
  <c r="I17" i="4"/>
  <c r="I18" i="4"/>
  <c r="I19" i="4"/>
  <c r="I25" i="4"/>
  <c r="G25" i="4"/>
  <c r="I26" i="4"/>
  <c r="G26" i="4"/>
  <c r="I28" i="4"/>
  <c r="G28" i="4"/>
  <c r="C15" i="4"/>
  <c r="C16" i="4"/>
  <c r="C17" i="4"/>
  <c r="B15" i="4"/>
  <c r="B16" i="4"/>
  <c r="B17" i="4"/>
  <c r="B18" i="4"/>
  <c r="B19" i="4"/>
  <c r="G19" i="4"/>
  <c r="G15" i="4"/>
  <c r="G18" i="4"/>
  <c r="G17" i="4"/>
  <c r="G16" i="4"/>
  <c r="G32" i="4"/>
</calcChain>
</file>

<file path=xl/sharedStrings.xml><?xml version="1.0" encoding="utf-8"?>
<sst xmlns="http://schemas.openxmlformats.org/spreadsheetml/2006/main" count="29823" uniqueCount="2683">
  <si>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</si>
  <si>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</si>
  <si>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</si>
  <si>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</si>
  <si>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</si>
  <si>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</si>
  <si>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</si>
  <si>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</si>
  <si>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</si>
  <si>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</si>
  <si>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</si>
  <si>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</si>
  <si>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</si>
  <si>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</si>
  <si>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</si>
  <si>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</si>
  <si>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</si>
  <si>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</si>
  <si>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</si>
  <si>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</si>
  <si>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</si>
  <si>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</si>
  <si>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</si>
  <si>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</si>
  <si>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</si>
  <si>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</si>
  <si>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</si>
  <si>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</si>
  <si>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</si>
  <si>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</si>
  <si>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</si>
  <si>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</si>
  <si>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</si>
  <si>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</si>
  <si>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</si>
  <si>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</si>
  <si>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</si>
  <si>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</si>
  <si>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</si>
  <si>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</si>
  <si>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</si>
  <si>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</si>
  <si>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</si>
  <si>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</si>
  <si>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</si>
  <si>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</si>
  <si>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</si>
  <si>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</si>
  <si>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</si>
  <si>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</si>
  <si>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</si>
  <si>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</si>
  <si>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</si>
  <si>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</si>
  <si>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</si>
  <si>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</si>
  <si>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</si>
  <si>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</si>
  <si>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</si>
  <si>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</si>
  <si>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</si>
  <si>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</si>
  <si>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</si>
  <si>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</si>
  <si>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</si>
  <si>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</si>
  <si>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</si>
  <si>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</si>
  <si>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</si>
  <si>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</si>
  <si>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</si>
  <si>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</si>
  <si>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</si>
  <si>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</si>
  <si>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</si>
  <si>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</si>
  <si>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</si>
  <si>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</si>
  <si>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</si>
  <si>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</si>
  <si>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</si>
  <si>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</si>
  <si>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</si>
  <si>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</si>
  <si>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</si>
  <si>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</si>
  <si>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</si>
  <si>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</si>
  <si>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</si>
  <si>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</si>
  <si>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</si>
  <si>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</si>
  <si>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</si>
  <si>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</si>
  <si>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</si>
  <si>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</si>
  <si>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</si>
  <si>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</si>
  <si>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</si>
  <si>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</si>
  <si>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</si>
  <si>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</si>
  <si>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</si>
  <si>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</si>
  <si>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</si>
  <si>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</si>
  <si>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</si>
  <si>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</si>
  <si>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</si>
  <si>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</si>
  <si>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</si>
  <si>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</si>
  <si>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</si>
  <si>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</si>
  <si>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</si>
  <si>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</si>
  <si>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</si>
  <si>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</si>
  <si>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</si>
  <si>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</si>
  <si>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</si>
  <si>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</si>
  <si>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</si>
  <si>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</si>
  <si>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</si>
  <si>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</si>
  <si>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</si>
  <si>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</si>
  <si>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</si>
  <si>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</si>
  <si>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</si>
  <si>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</si>
  <si>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</si>
  <si>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</si>
  <si>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</si>
  <si>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</si>
  <si>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</si>
  <si>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</si>
  <si>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</si>
  <si>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</si>
  <si>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</si>
  <si>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</si>
  <si>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</si>
  <si>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</si>
  <si>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</si>
  <si>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</si>
  <si>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</si>
  <si>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</si>
  <si>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</si>
  <si>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</si>
  <si>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</si>
  <si>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</si>
  <si>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</si>
  <si>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</si>
  <si>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</si>
  <si>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</si>
  <si>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</si>
  <si>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</si>
  <si>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</si>
  <si>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</si>
  <si>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</si>
  <si>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</si>
  <si>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</si>
  <si>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</si>
  <si>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</si>
  <si>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</si>
  <si>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</si>
  <si>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</si>
  <si>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</si>
  <si>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</si>
  <si>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</si>
  <si>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</si>
  <si>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</si>
  <si>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</si>
  <si>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</si>
  <si>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</si>
  <si>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</si>
  <si>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</si>
  <si>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</si>
  <si>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</si>
  <si>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</si>
  <si>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</si>
  <si>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</si>
  <si>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</si>
  <si>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</si>
  <si>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</si>
  <si>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</si>
  <si>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</si>
  <si>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</si>
  <si>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</si>
  <si>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</si>
  <si>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</si>
  <si>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</si>
  <si>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</si>
  <si>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</si>
  <si>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</si>
  <si>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</si>
  <si>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</si>
  <si>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</si>
  <si>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</si>
  <si>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</si>
  <si>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</si>
  <si>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</si>
  <si>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</si>
  <si>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</si>
  <si>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</si>
  <si>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</si>
  <si>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</si>
  <si>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</si>
  <si>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</si>
  <si>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</si>
  <si>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</si>
  <si>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</si>
  <si>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</si>
  <si>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</si>
  <si>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</si>
  <si>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</si>
  <si>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</si>
  <si>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</si>
  <si>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</si>
  <si>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</si>
  <si>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</si>
  <si>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</si>
  <si>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</si>
  <si>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</si>
  <si>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</si>
  <si>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</si>
  <si>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</si>
  <si>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</si>
  <si>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</si>
  <si>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</si>
  <si>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</si>
  <si>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</si>
  <si>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</si>
  <si>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</si>
  <si>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</si>
  <si>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</si>
  <si>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</si>
  <si>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</si>
  <si>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</si>
  <si>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</si>
  <si>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</si>
  <si>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</si>
  <si>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</si>
  <si>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</si>
  <si>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</si>
  <si>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</si>
  <si>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</si>
  <si>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</si>
  <si>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</si>
  <si>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</si>
  <si>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</si>
  <si>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</si>
  <si>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</si>
  <si>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</si>
  <si>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</si>
  <si>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</si>
  <si>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</si>
  <si>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</si>
  <si>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</si>
  <si>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</si>
  <si>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</si>
  <si>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</si>
  <si>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</si>
  <si>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</si>
  <si>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</si>
  <si>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</si>
  <si>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</si>
  <si>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</si>
  <si>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</si>
  <si>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</si>
  <si>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</si>
  <si>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</si>
  <si>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</si>
  <si>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</si>
  <si>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</si>
  <si>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</si>
  <si>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</si>
  <si>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</si>
  <si>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</si>
  <si>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</si>
  <si>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</si>
  <si>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</si>
  <si>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</si>
  <si>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</si>
  <si>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</si>
  <si>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</si>
  <si>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</si>
  <si>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</si>
  <si>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</si>
  <si>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</si>
  <si>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</si>
  <si>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</si>
  <si>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</si>
  <si>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</si>
  <si>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</si>
  <si>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</si>
  <si>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</si>
  <si>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</si>
  <si>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</si>
  <si>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</si>
  <si>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</si>
  <si>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</si>
  <si>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</si>
  <si>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</si>
  <si>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</si>
  <si>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</si>
  <si>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</si>
  <si>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</si>
  <si>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</si>
  <si>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</si>
  <si>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</si>
  <si>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</si>
  <si>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</si>
  <si>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</si>
  <si>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</si>
  <si>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</si>
  <si>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</si>
  <si>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</si>
  <si>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</si>
  <si>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</si>
  <si>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</si>
  <si>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</si>
  <si>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</si>
  <si>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</si>
  <si>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</si>
  <si>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</si>
  <si>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</si>
  <si>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</si>
  <si>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</si>
  <si>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</si>
  <si>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</si>
  <si>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</si>
  <si>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</si>
  <si>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</si>
  <si>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</si>
  <si>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</si>
  <si>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</si>
  <si>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</si>
  <si>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</si>
  <si>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</si>
  <si>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</si>
  <si>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</si>
  <si>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</si>
  <si>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</si>
  <si>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</si>
  <si>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</si>
  <si>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</si>
  <si>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</si>
  <si>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</si>
  <si>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</si>
  <si>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</si>
  <si>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</si>
  <si>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</si>
  <si>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</si>
  <si>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</si>
  <si>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</si>
  <si>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</si>
  <si>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</si>
  <si>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</si>
  <si>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</si>
  <si>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</si>
  <si>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</si>
  <si>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</si>
  <si>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</si>
  <si>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</si>
  <si>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</si>
  <si>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</si>
  <si>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</si>
  <si>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</si>
  <si>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</si>
  <si>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</si>
  <si>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</si>
  <si>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</si>
  <si>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</si>
  <si>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</si>
  <si>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</si>
  <si>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</si>
  <si>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</si>
  <si>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</si>
  <si>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</si>
  <si>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</si>
  <si>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</si>
  <si>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</si>
  <si>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</si>
  <si>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</si>
  <si>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</si>
  <si>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</si>
  <si>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</si>
  <si>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</si>
  <si>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</si>
  <si>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</si>
  <si>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</si>
  <si>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</si>
  <si>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</si>
  <si>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</si>
  <si>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</si>
  <si>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</si>
  <si>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</si>
  <si>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</si>
  <si>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</si>
  <si>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</si>
  <si>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</si>
  <si>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</si>
  <si>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</si>
  <si>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</si>
  <si>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</si>
  <si>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</si>
  <si>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</si>
  <si>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</si>
  <si>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</si>
  <si>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</si>
  <si>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</si>
  <si>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</si>
  <si>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</si>
  <si>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</si>
  <si>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</si>
  <si>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</si>
  <si>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</si>
  <si>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</si>
  <si>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</si>
  <si>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</si>
  <si>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</si>
  <si>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</si>
  <si>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</si>
  <si>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</si>
  <si>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</si>
  <si>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</si>
  <si>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</si>
  <si>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</si>
  <si>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</si>
  <si>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</si>
  <si>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</si>
  <si>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</si>
  <si>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</si>
  <si>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</si>
  <si>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</si>
  <si>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</si>
  <si>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</si>
  <si>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</si>
  <si>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</si>
  <si>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</si>
  <si>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</si>
  <si>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</si>
  <si>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</si>
  <si>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</si>
  <si>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</si>
  <si>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</si>
  <si>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</si>
  <si>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</si>
  <si>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</si>
  <si>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</si>
  <si>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</si>
  <si>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</si>
  <si>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</si>
  <si>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</si>
  <si>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</si>
  <si>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</si>
  <si>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</si>
  <si>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</si>
  <si>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</si>
  <si>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</si>
  <si>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</si>
  <si>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</si>
  <si>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</si>
  <si>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</si>
  <si>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</si>
  <si>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</si>
  <si>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</si>
  <si>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</si>
  <si>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</si>
  <si>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</si>
  <si>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</si>
  <si>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</si>
  <si>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</si>
  <si>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</si>
  <si>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</si>
  <si>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</si>
  <si>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</si>
  <si>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</si>
  <si>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</si>
  <si>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</si>
  <si>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</si>
  <si>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</si>
  <si>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</si>
  <si>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</si>
  <si>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</si>
  <si>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</si>
  <si>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</si>
  <si>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</si>
  <si>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</si>
  <si>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</si>
  <si>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</si>
  <si>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</si>
  <si>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</si>
  <si>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</si>
  <si>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</si>
  <si>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</si>
  <si>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</si>
  <si>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</si>
  <si>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</si>
  <si>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</si>
  <si>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</si>
  <si>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</si>
  <si>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</si>
  <si>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</si>
  <si>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</si>
  <si>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</si>
  <si>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</si>
  <si>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</si>
  <si>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</si>
  <si>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</si>
  <si>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</si>
  <si>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</si>
  <si>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</si>
  <si>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</si>
  <si>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</si>
  <si>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</si>
  <si>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</si>
  <si>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</si>
  <si>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</si>
  <si>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</si>
  <si>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</si>
  <si>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</si>
  <si>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</si>
  <si>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</si>
  <si>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</si>
  <si>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</si>
  <si>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</si>
  <si>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</si>
  <si>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</si>
  <si>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</si>
  <si>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</si>
  <si>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</si>
  <si>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</si>
  <si>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</si>
  <si>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</si>
  <si>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</si>
  <si>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</si>
  <si>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</si>
  <si>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</si>
  <si>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</si>
  <si>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</si>
  <si>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</si>
  <si>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</si>
  <si>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</si>
  <si>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</si>
  <si>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</si>
  <si>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</si>
  <si>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</si>
  <si>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</si>
  <si>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</si>
  <si>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</si>
  <si>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</si>
  <si>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</si>
  <si>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</si>
  <si>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</si>
  <si>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</si>
  <si>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</si>
  <si>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</si>
  <si>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</si>
  <si>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</si>
  <si>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</si>
  <si>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</si>
  <si>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</si>
  <si>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</si>
  <si>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</si>
  <si>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</si>
  <si>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</si>
  <si>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</si>
  <si>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</si>
  <si>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</si>
  <si>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</si>
  <si>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</si>
  <si>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</si>
  <si>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</si>
  <si>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</si>
  <si>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</si>
  <si>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</si>
  <si>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</si>
  <si>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</si>
  <si>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</si>
  <si>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</si>
  <si>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</si>
  <si>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</si>
  <si>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</si>
  <si>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</si>
  <si>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</si>
  <si>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</si>
  <si>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</si>
  <si>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</si>
  <si>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</si>
  <si>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</si>
  <si>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</si>
  <si>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</si>
  <si>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</si>
  <si>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</si>
  <si>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</si>
  <si>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</si>
  <si>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</si>
  <si>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</si>
  <si>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</si>
  <si>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</si>
  <si>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</si>
  <si>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</si>
  <si>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</si>
  <si>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</si>
  <si>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</si>
  <si>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</si>
  <si>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</si>
  <si>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</si>
  <si>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</si>
  <si>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</si>
  <si>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</si>
  <si>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</si>
  <si>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</si>
  <si>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</si>
  <si>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</si>
  <si>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</si>
  <si>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</si>
  <si>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</si>
  <si>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</si>
  <si>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</si>
  <si>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</si>
  <si>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</si>
  <si>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</si>
  <si>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</si>
  <si>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</si>
  <si>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</si>
  <si>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</si>
  <si>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</si>
  <si>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</si>
  <si>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</si>
  <si>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</si>
  <si>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</si>
  <si>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</si>
  <si>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</si>
  <si>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</si>
  <si>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</si>
  <si>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</si>
  <si>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</si>
  <si>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</si>
  <si>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</si>
  <si>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</si>
  <si>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</si>
  <si>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</si>
  <si>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</si>
  <si>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</si>
  <si>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</si>
  <si>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</si>
  <si>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</si>
  <si>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</si>
  <si>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</si>
  <si>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</si>
  <si>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</si>
  <si>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</si>
  <si>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</si>
  <si>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</si>
  <si>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</si>
  <si>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</si>
  <si>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</si>
  <si>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</si>
  <si>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</si>
  <si>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</si>
  <si>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</si>
  <si>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</si>
  <si>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</si>
  <si>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</si>
  <si>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</si>
  <si>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</si>
  <si>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</si>
  <si>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</si>
  <si>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</si>
  <si>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</si>
  <si>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</si>
  <si>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</si>
  <si>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</si>
  <si>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</si>
  <si>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</si>
  <si>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</si>
  <si>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</si>
  <si>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</si>
  <si>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</si>
  <si>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</si>
  <si>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</si>
  <si>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</si>
  <si>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</si>
  <si>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</si>
  <si>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</si>
  <si>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</si>
  <si>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</si>
  <si>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</si>
  <si>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</si>
  <si>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</si>
  <si>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</si>
  <si>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</si>
  <si>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</si>
  <si>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</si>
  <si>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</si>
  <si>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</si>
  <si>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</si>
  <si>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</si>
  <si>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</si>
  <si>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</si>
  <si>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</si>
  <si>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</si>
  <si>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</si>
  <si>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</si>
  <si>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</si>
  <si>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</si>
  <si>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</si>
  <si>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</si>
  <si>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</si>
  <si>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</si>
  <si>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</si>
  <si>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</si>
  <si>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</si>
  <si>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</si>
  <si>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</si>
  <si>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</si>
  <si>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</si>
  <si>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</si>
  <si>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</si>
  <si>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</si>
  <si>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</si>
  <si>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</si>
  <si>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</si>
  <si>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</si>
  <si>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</si>
  <si>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</si>
  <si>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</si>
  <si>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</si>
  <si>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</si>
  <si>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</si>
  <si>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</si>
  <si>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</si>
  <si>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</si>
  <si>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</si>
  <si>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</si>
  <si>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</si>
  <si>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</si>
  <si>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</si>
  <si>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</si>
  <si>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</si>
  <si>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</si>
  <si>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</si>
  <si>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</si>
  <si>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</si>
  <si>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</si>
  <si>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</si>
  <si>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</si>
  <si>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</si>
  <si>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</si>
  <si>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</si>
  <si>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</si>
  <si>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</si>
  <si>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</si>
  <si>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</si>
  <si>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</si>
  <si>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</si>
  <si>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</si>
  <si>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</si>
  <si>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</si>
  <si>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</si>
  <si>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</si>
  <si>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</si>
  <si>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</si>
  <si>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</si>
  <si>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</si>
  <si>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</si>
  <si>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</si>
  <si>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</si>
  <si>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</si>
  <si>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</si>
  <si>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</si>
  <si>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</si>
  <si>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</si>
  <si>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</si>
  <si>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</si>
  <si>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</si>
  <si>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</si>
  <si>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</si>
  <si>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</si>
  <si>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</si>
  <si>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</si>
  <si>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</si>
  <si>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</si>
  <si>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</si>
  <si>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</si>
  <si>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</si>
  <si>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</si>
  <si>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</si>
  <si>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</si>
  <si>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</si>
  <si>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</si>
  <si>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</si>
  <si>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</si>
  <si>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</si>
  <si>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</si>
  <si>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</si>
  <si>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</si>
  <si>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</si>
  <si>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</si>
  <si>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</si>
  <si>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</si>
  <si>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</si>
  <si>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</si>
  <si>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</si>
  <si>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</si>
  <si>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</si>
  <si>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</si>
  <si>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</si>
  <si>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</si>
  <si>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</si>
  <si>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</si>
  <si>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</si>
  <si>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</si>
  <si>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</si>
  <si>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</si>
  <si>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</si>
  <si>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</si>
  <si>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</si>
  <si>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</si>
  <si>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</si>
  <si>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</si>
  <si>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</si>
  <si>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</si>
  <si>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</si>
  <si>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</si>
  <si>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</si>
  <si>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</si>
  <si>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</si>
  <si>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</si>
  <si>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</si>
  <si>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</si>
  <si>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</si>
  <si>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</si>
  <si>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</si>
  <si>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</si>
  <si>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</si>
  <si>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</si>
  <si>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</si>
  <si>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</si>
  <si>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</si>
  <si>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</si>
  <si>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</si>
  <si>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</si>
  <si>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</si>
  <si>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</si>
  <si>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</si>
  <si>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</si>
  <si>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</si>
  <si>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</si>
  <si>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</si>
  <si>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</si>
  <si>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</si>
  <si>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</si>
  <si>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</si>
  <si>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</si>
  <si>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</si>
  <si>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</si>
  <si>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</si>
  <si>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</si>
  <si>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</si>
  <si>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</si>
  <si>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</si>
  <si>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</si>
  <si>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</si>
  <si>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</si>
  <si>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</si>
  <si>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</si>
  <si>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</si>
  <si>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</si>
  <si>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</si>
  <si>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</si>
  <si>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</si>
  <si>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</si>
  <si>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</si>
  <si>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</si>
  <si>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</si>
  <si>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</si>
  <si>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</si>
  <si>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</si>
  <si>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</si>
  <si>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</si>
  <si>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</si>
  <si>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</si>
  <si>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</si>
  <si>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</si>
  <si>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</si>
  <si>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</si>
  <si>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</si>
  <si>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</si>
  <si>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</si>
  <si>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</si>
  <si>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</si>
  <si>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</si>
  <si>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</si>
  <si>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</si>
  <si>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</si>
  <si>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</si>
  <si>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</si>
  <si>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</si>
  <si>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</si>
  <si>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</si>
  <si>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</si>
  <si>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</si>
  <si>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</si>
  <si>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</si>
  <si>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</si>
  <si>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</si>
  <si>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</si>
  <si>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</si>
  <si>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</si>
  <si>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</si>
  <si>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</si>
  <si>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</si>
  <si>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</si>
  <si>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</si>
  <si>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</si>
  <si>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</si>
  <si>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</si>
  <si>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</si>
  <si>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</si>
  <si>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</si>
  <si>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</si>
  <si>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</si>
  <si>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</si>
  <si>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</si>
  <si>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</si>
  <si>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</si>
  <si>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</si>
  <si>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</si>
  <si>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</si>
  <si>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</si>
  <si>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</si>
  <si>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</si>
  <si>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</si>
  <si>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</si>
  <si>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</si>
  <si>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</si>
  <si>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</si>
  <si>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</si>
  <si>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</si>
  <si>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</si>
  <si>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</si>
  <si>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</si>
  <si>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</si>
  <si>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</si>
  <si>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</si>
  <si>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</si>
  <si>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</si>
  <si>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</si>
  <si>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</si>
  <si>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</si>
  <si>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</si>
  <si>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</si>
  <si>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</si>
  <si>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</si>
  <si>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</si>
  <si>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</si>
  <si>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</si>
  <si>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</si>
  <si>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</si>
  <si>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</si>
  <si>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</si>
  <si>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</si>
  <si>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</si>
  <si>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</si>
  <si>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</si>
  <si>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</si>
  <si>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</si>
  <si>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</si>
  <si>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</si>
  <si>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</si>
  <si>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</si>
  <si>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</si>
  <si>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</si>
  <si>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</si>
  <si>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</si>
  <si>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</si>
  <si>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</si>
  <si>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</si>
  <si>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</si>
  <si>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</si>
  <si>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</si>
  <si>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</si>
  <si>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</si>
  <si>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</si>
  <si>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</si>
  <si>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</si>
  <si>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</si>
  <si>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</si>
  <si>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</si>
  <si>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</si>
  <si>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</si>
  <si>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</si>
  <si>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</si>
  <si>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</si>
  <si>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</si>
  <si>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</si>
  <si>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</si>
  <si>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</si>
  <si>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</si>
  <si>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</si>
  <si>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</si>
  <si>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</si>
  <si>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</si>
  <si>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</si>
  <si>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</si>
  <si>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</si>
  <si>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</si>
  <si>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</si>
  <si>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</si>
  <si>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</si>
  <si>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</si>
  <si>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</si>
  <si>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</si>
  <si>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</si>
  <si>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</si>
  <si>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</si>
  <si>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</si>
  <si>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</si>
  <si>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</si>
  <si>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</si>
  <si>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</si>
  <si>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</si>
  <si>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</si>
  <si>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</si>
  <si>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</si>
  <si>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</si>
  <si>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</si>
  <si>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</si>
  <si>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</si>
  <si>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</si>
  <si>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</si>
  <si>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</si>
  <si>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</si>
  <si>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</si>
  <si>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</si>
  <si>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</si>
  <si>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</si>
  <si>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</si>
  <si>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</si>
  <si>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</si>
  <si>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</si>
  <si>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</si>
  <si>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</si>
  <si>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</si>
  <si>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</si>
  <si>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</si>
  <si>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</si>
  <si>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</si>
  <si>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</si>
  <si>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</si>
  <si>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</si>
  <si>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</si>
  <si>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</si>
  <si>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</si>
  <si>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</si>
  <si>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</si>
  <si>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</si>
  <si>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</si>
  <si>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</si>
  <si>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</si>
  <si>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</si>
  <si>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</si>
  <si>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</si>
  <si>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</si>
  <si>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</si>
  <si>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</si>
  <si>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</si>
  <si>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</si>
  <si>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</si>
  <si>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</si>
  <si>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</si>
  <si>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</si>
  <si>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</si>
  <si>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</si>
  <si>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</si>
  <si>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</si>
  <si>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</si>
  <si>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</si>
  <si>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</si>
  <si>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</si>
  <si>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</si>
  <si>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</si>
  <si>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</si>
  <si>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</si>
  <si>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</si>
  <si>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</si>
  <si>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</si>
  <si>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</si>
  <si>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</si>
  <si>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</si>
  <si>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</si>
  <si>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</si>
  <si>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</si>
  <si>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</si>
  <si>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</si>
  <si>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</si>
  <si>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</si>
  <si>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</si>
  <si>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</si>
  <si>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</si>
  <si>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</si>
  <si>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</si>
  <si>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</si>
  <si>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</si>
  <si>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</si>
  <si>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</si>
  <si>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</si>
  <si>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</si>
  <si>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</si>
  <si>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</si>
  <si>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</si>
  <si>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</si>
  <si>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</si>
  <si>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</si>
  <si>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</si>
  <si>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</si>
  <si>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</si>
  <si>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</si>
  <si>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</si>
  <si>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</si>
  <si>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</si>
  <si>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</si>
  <si>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</si>
  <si>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</si>
  <si>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</si>
  <si>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</si>
  <si>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</si>
  <si>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</si>
  <si>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</si>
  <si>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</si>
  <si>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</si>
  <si>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</si>
  <si>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</si>
  <si>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</si>
  <si>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</si>
  <si>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</si>
  <si>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</si>
  <si>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</si>
  <si>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</si>
  <si>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</si>
  <si>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</si>
  <si>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</si>
  <si>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</si>
  <si>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</si>
  <si>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</si>
  <si>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</si>
  <si>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</si>
  <si>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</si>
  <si>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</si>
  <si>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</si>
  <si>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</si>
  <si>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</si>
  <si>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</si>
  <si>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</si>
  <si>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</si>
  <si>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</si>
  <si>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</si>
  <si>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</si>
  <si>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</si>
  <si>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</si>
  <si>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</si>
  <si>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</si>
  <si>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</si>
  <si>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</si>
  <si>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</si>
  <si>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</si>
  <si>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</si>
  <si>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</si>
  <si>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</si>
  <si>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</si>
  <si>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</si>
  <si>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</si>
  <si>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</si>
  <si>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</si>
  <si>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</si>
  <si>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</si>
  <si>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</si>
  <si>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</si>
  <si>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</si>
  <si>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</si>
  <si>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</si>
  <si>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</si>
  <si>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</si>
  <si>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</si>
  <si>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</si>
  <si>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</si>
  <si>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</si>
  <si>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</si>
  <si>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</si>
  <si>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</si>
  <si>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</si>
  <si>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</si>
  <si>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</si>
  <si>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</si>
  <si>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</si>
  <si>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</si>
  <si>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</si>
  <si>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</si>
  <si>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</si>
  <si>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</si>
  <si>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</si>
  <si>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</si>
  <si>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</si>
  <si>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</si>
  <si>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</si>
  <si>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</si>
  <si>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</si>
  <si>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</si>
  <si>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</si>
  <si>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</si>
  <si>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</si>
  <si>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</si>
  <si>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</si>
  <si>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</si>
  <si>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</si>
  <si>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</si>
  <si>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</si>
  <si>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</si>
  <si>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</si>
  <si>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</si>
  <si>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</si>
  <si>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</si>
  <si>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</si>
  <si>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</si>
  <si>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</si>
  <si>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</si>
  <si>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</si>
  <si>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</si>
  <si>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</si>
  <si>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</si>
  <si>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</si>
  <si>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</si>
  <si>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</si>
  <si>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</si>
  <si>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</si>
  <si>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</si>
  <si>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</si>
  <si>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</si>
  <si>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</si>
  <si>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</si>
  <si>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</si>
  <si>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</si>
  <si>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</si>
  <si>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</si>
  <si>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</si>
  <si>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</si>
  <si>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</si>
  <si>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</si>
  <si>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</si>
  <si>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</si>
  <si>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</si>
  <si>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</si>
  <si>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</si>
  <si>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</si>
  <si>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</si>
  <si>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</si>
  <si>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</si>
  <si>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</si>
  <si>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</si>
  <si>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</si>
  <si>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</si>
  <si>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</si>
  <si>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</si>
  <si>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</si>
  <si>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</si>
  <si>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</si>
  <si>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</si>
  <si>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</si>
  <si>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</si>
  <si>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</si>
  <si>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</si>
  <si>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</si>
  <si>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</si>
  <si>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</si>
  <si>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</si>
  <si>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</si>
  <si>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</si>
  <si>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</si>
  <si>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</si>
  <si>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</si>
  <si>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</si>
  <si>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</si>
  <si>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</si>
  <si>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</si>
  <si>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</si>
  <si>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</si>
  <si>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</si>
  <si>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</si>
  <si>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</si>
  <si>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</si>
  <si>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</si>
  <si>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</si>
  <si>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</si>
  <si>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</si>
  <si>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</si>
  <si>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</si>
  <si>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</si>
  <si>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</si>
  <si>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</si>
  <si>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</si>
  <si>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</si>
  <si>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</si>
  <si>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</si>
  <si>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</si>
  <si>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</si>
  <si>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</si>
  <si>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</si>
  <si>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</si>
  <si>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</si>
  <si>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</si>
  <si>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</si>
  <si>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</si>
  <si>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</si>
  <si>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</si>
  <si>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</si>
  <si>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</si>
  <si>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</si>
  <si>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</si>
  <si>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</si>
  <si>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</si>
  <si>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</si>
  <si>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</si>
  <si>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</si>
  <si>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</si>
  <si>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</si>
  <si>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</si>
  <si>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</si>
  <si>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</si>
  <si>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</si>
  <si>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</si>
  <si>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</si>
  <si>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</si>
  <si>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</si>
  <si>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</si>
  <si>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</si>
  <si>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</si>
  <si>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</si>
  <si>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</si>
  <si>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</si>
  <si>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</si>
  <si>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</si>
  <si>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</si>
  <si>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</si>
  <si>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</si>
  <si>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</si>
  <si>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</si>
  <si>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</si>
  <si>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</si>
  <si>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</si>
  <si>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</si>
  <si>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</si>
  <si>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</si>
  <si>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</si>
  <si>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</si>
  <si>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</si>
  <si>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</si>
  <si>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</si>
  <si>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</si>
  <si>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</si>
  <si>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</si>
  <si>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</si>
  <si>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</si>
  <si>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</si>
  <si>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</si>
  <si>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</si>
  <si>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</si>
  <si>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</si>
  <si>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</si>
  <si>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</si>
  <si>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</si>
  <si>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</si>
  <si>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</si>
  <si>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</si>
  <si>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</si>
  <si>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</si>
  <si>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</si>
  <si>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</si>
  <si>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</si>
  <si>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</si>
  <si>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</si>
  <si>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</si>
  <si>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</si>
  <si>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</si>
  <si>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</si>
  <si>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</si>
  <si>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</si>
  <si>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</si>
  <si>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</si>
  <si>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</si>
  <si>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</si>
  <si>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</si>
  <si>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</si>
  <si>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</si>
  <si>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</si>
  <si>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</si>
  <si>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</si>
  <si>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</si>
  <si>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</si>
  <si>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</si>
  <si>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</si>
  <si>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</si>
  <si>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</si>
  <si>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</si>
  <si>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</si>
  <si>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</si>
  <si>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</si>
  <si>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</si>
  <si>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</si>
  <si>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</si>
  <si>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</si>
  <si>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</si>
  <si>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</si>
  <si>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</si>
  <si>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</si>
  <si>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</si>
  <si>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</si>
  <si>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</si>
  <si>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</si>
  <si>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</si>
  <si>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</si>
  <si>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</si>
  <si>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</si>
  <si>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</si>
  <si>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</si>
  <si>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</si>
  <si>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</si>
  <si>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</si>
  <si>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</si>
  <si>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</si>
  <si>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</si>
  <si>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</si>
  <si>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</si>
  <si>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</si>
  <si>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</si>
  <si>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</si>
  <si>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</si>
  <si>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</si>
  <si>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</si>
  <si>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</si>
  <si>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</si>
  <si>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</si>
  <si>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</si>
  <si>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</si>
  <si>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</si>
  <si>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</si>
  <si>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</si>
  <si>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</si>
  <si>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</si>
  <si>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</si>
  <si>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</si>
  <si>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</si>
  <si>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</si>
  <si>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</si>
  <si>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</si>
  <si>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</si>
  <si>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</si>
  <si>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</si>
  <si>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</si>
  <si>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</si>
  <si>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</si>
  <si>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</si>
  <si>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</si>
  <si>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</si>
  <si>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</si>
  <si>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</si>
  <si>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</si>
  <si>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</si>
  <si>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</si>
  <si>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</si>
  <si>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</si>
  <si>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</si>
  <si>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</si>
  <si>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</si>
  <si>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</si>
  <si>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</si>
  <si>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</si>
  <si>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</si>
  <si>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</si>
  <si>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</si>
  <si>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</si>
  <si>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</si>
  <si>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</si>
  <si>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</si>
  <si>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</si>
  <si>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</si>
  <si>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</si>
  <si>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</si>
  <si>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</si>
  <si>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</si>
  <si>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</si>
  <si>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</si>
  <si>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</si>
  <si>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</si>
  <si>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</si>
  <si>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</si>
  <si>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</si>
  <si>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</si>
  <si>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</si>
  <si>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</si>
  <si>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</si>
  <si>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</si>
  <si>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</si>
  <si>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</si>
  <si>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</si>
  <si>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</si>
  <si>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</si>
  <si>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</si>
  <si>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</si>
  <si>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</si>
  <si>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</si>
  <si>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</si>
  <si>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</si>
  <si>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</si>
  <si>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</si>
  <si>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</si>
  <si>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</si>
  <si>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</si>
  <si>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</si>
  <si>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</si>
  <si>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</si>
  <si>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</si>
  <si>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</si>
  <si>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</si>
  <si>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</si>
  <si>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</si>
  <si>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</si>
  <si>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</si>
  <si>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</si>
  <si>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</si>
  <si>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</si>
  <si>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</si>
  <si>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</si>
  <si>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</si>
  <si>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</si>
  <si>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</si>
  <si>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</si>
  <si>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</si>
  <si>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</si>
  <si>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</si>
  <si>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</si>
  <si>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</si>
  <si>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</si>
  <si>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</si>
  <si>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</si>
  <si>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</si>
  <si>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</si>
  <si>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</si>
  <si>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</si>
  <si>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</si>
  <si>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</si>
  <si>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</si>
  <si>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</si>
  <si>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</si>
  <si>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</si>
  <si>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</si>
  <si>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</si>
  <si>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</si>
  <si>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</si>
  <si>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</si>
  <si>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</si>
  <si>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</si>
  <si>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</si>
  <si>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</si>
  <si>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</si>
  <si>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</si>
  <si>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</si>
  <si>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</si>
  <si>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</si>
  <si>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</si>
  <si>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</si>
  <si>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</si>
  <si>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</si>
  <si>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</si>
  <si>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</si>
  <si>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</si>
  <si>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</si>
  <si>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</si>
  <si>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</si>
  <si>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</si>
  <si>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</si>
  <si>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</si>
  <si>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</si>
  <si>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</si>
  <si>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</si>
  <si>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</si>
  <si>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</si>
  <si>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</si>
  <si>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</si>
  <si>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</si>
  <si>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</si>
  <si>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</si>
  <si>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</si>
  <si>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</si>
  <si>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</si>
  <si>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</si>
  <si>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</si>
  <si>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</si>
  <si>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</si>
  <si>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</si>
  <si>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</si>
  <si>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</si>
  <si>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</si>
  <si>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</si>
  <si>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</si>
  <si>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</si>
  <si>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</si>
  <si>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</si>
  <si>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</si>
  <si>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</si>
  <si>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</si>
  <si>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</si>
  <si>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</si>
  <si>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</si>
  <si>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</si>
  <si>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</si>
  <si>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</si>
  <si>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</si>
  <si>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</si>
  <si>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</si>
  <si>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</si>
  <si>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</si>
  <si>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</si>
  <si>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</si>
  <si>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</si>
  <si>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</si>
  <si>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</si>
  <si>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</si>
  <si>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</si>
  <si>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</si>
  <si>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</si>
  <si>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</si>
  <si>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</si>
  <si>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</si>
  <si>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</si>
  <si>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</si>
  <si>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</si>
  <si>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</si>
  <si>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</si>
  <si>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</si>
  <si>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</si>
  <si>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</si>
  <si>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</si>
  <si>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</si>
  <si>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</si>
  <si>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</si>
  <si>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</si>
  <si>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</si>
  <si>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</si>
  <si>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</si>
  <si>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</si>
  <si>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</si>
  <si>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</si>
  <si>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</si>
  <si>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</si>
  <si>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</si>
  <si>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</si>
  <si>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</si>
  <si>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</si>
  <si>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</si>
  <si>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</si>
  <si>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</si>
  <si>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</si>
  <si>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</si>
  <si>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</si>
  <si>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</si>
  <si>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</si>
  <si>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</si>
  <si>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</si>
  <si>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</si>
  <si>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</si>
  <si>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</si>
  <si>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</si>
  <si>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</si>
  <si>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</si>
  <si>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</si>
  <si>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</si>
  <si>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</si>
  <si>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</si>
  <si>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</si>
  <si>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</si>
  <si>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</si>
  <si>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</si>
  <si>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</si>
  <si>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</si>
  <si>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</si>
  <si>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</si>
  <si>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</si>
  <si>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</si>
  <si>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</si>
  <si>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</si>
  <si>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</si>
  <si>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</si>
  <si>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</si>
  <si>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</si>
  <si>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</si>
  <si>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</si>
  <si>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</si>
  <si>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</si>
  <si>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</si>
  <si>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</si>
  <si>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</si>
  <si>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</si>
  <si>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</si>
  <si>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</si>
  <si>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</si>
  <si>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</si>
  <si>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</si>
  <si>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</si>
  <si>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</si>
  <si>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</si>
  <si>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</si>
  <si>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</si>
  <si>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</si>
  <si>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</si>
  <si>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</si>
  <si>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</si>
  <si>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</si>
  <si>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</si>
  <si>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</si>
  <si>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</si>
  <si>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</si>
  <si>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</si>
  <si>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</si>
  <si>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</si>
  <si>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</si>
  <si>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</si>
  <si>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</si>
  <si>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</si>
  <si>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</si>
  <si>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</si>
  <si>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</si>
  <si>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</si>
  <si>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</si>
  <si>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</si>
  <si>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</si>
  <si>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</si>
  <si>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</si>
  <si>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</si>
  <si>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</si>
  <si>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</si>
  <si>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</si>
  <si>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</si>
  <si>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</si>
  <si>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</si>
  <si>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</si>
  <si>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</si>
  <si>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</si>
  <si>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</si>
  <si>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</si>
  <si>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</si>
  <si>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</si>
  <si>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</si>
  <si>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</si>
  <si>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</si>
  <si>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</si>
  <si>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</si>
  <si>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</si>
  <si>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</si>
  <si>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</si>
  <si>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</si>
  <si>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</si>
  <si>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</si>
  <si>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</si>
  <si>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</si>
  <si>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</si>
  <si>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</si>
  <si>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</si>
  <si>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</si>
  <si>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</si>
  <si>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</si>
  <si>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</si>
  <si>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</si>
  <si>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</si>
  <si>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</si>
  <si>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</si>
  <si>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</si>
  <si>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</si>
  <si>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</si>
  <si>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</si>
  <si>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</si>
  <si>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</si>
  <si>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</si>
  <si>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</si>
  <si>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</si>
  <si>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</si>
  <si>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</si>
  <si>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</si>
  <si>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</si>
  <si>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</si>
  <si>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</si>
  <si>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</si>
  <si>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</si>
  <si>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</si>
  <si>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</si>
  <si>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</si>
  <si>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</si>
  <si>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</si>
  <si>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</si>
  <si>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</si>
  <si>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</si>
  <si>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</si>
  <si>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</si>
  <si>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</si>
  <si>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</si>
  <si>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</si>
  <si>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</si>
  <si>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</si>
  <si>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</si>
  <si>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</si>
  <si>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</si>
  <si>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</si>
  <si>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</si>
  <si>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</si>
  <si>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</si>
  <si>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</si>
  <si>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</si>
  <si>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</si>
  <si>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</si>
  <si>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</si>
  <si>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</si>
  <si>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</si>
  <si>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</si>
  <si>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</si>
  <si>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</si>
  <si>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</si>
  <si>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</si>
  <si>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</si>
  <si>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</si>
  <si>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</si>
  <si>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</si>
  <si>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</si>
  <si>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</si>
  <si>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</si>
  <si>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</si>
  <si>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</si>
  <si>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</si>
  <si>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</si>
  <si>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</si>
  <si>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</si>
  <si>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</si>
  <si>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</si>
  <si>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</si>
  <si>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</si>
  <si>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</si>
  <si>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</si>
  <si>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</si>
  <si>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</si>
  <si>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</si>
  <si>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</si>
  <si>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</si>
  <si>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</si>
  <si>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</si>
  <si>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</si>
  <si>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</si>
  <si>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</si>
  <si>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</si>
  <si>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</si>
  <si>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</si>
  <si>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</si>
  <si>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</si>
  <si>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</si>
  <si>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</si>
  <si>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</si>
  <si>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</si>
  <si>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</si>
  <si>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</si>
  <si>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</si>
  <si>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</si>
  <si>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</si>
  <si>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</si>
  <si>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</si>
  <si>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</si>
  <si>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</si>
  <si>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</si>
  <si>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</si>
  <si>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</si>
  <si>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</si>
  <si>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</si>
  <si>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</si>
  <si>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</si>
  <si>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</si>
  <si>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</si>
  <si>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</si>
  <si>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</si>
  <si>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</si>
  <si>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</si>
  <si>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</si>
  <si>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</si>
  <si>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</si>
  <si>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</si>
  <si>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</si>
  <si>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</si>
  <si>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</si>
  <si>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</si>
  <si>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</si>
  <si>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</si>
  <si>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</si>
  <si>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</si>
  <si>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</si>
  <si>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</si>
  <si>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</si>
  <si>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</si>
  <si>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</si>
  <si>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</si>
  <si>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</si>
  <si>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</si>
  <si>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</si>
  <si>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</si>
  <si>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</si>
  <si>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</si>
  <si>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</si>
  <si>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</si>
  <si>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</si>
  <si>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</si>
  <si>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</si>
  <si>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</si>
  <si>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</si>
  <si>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</si>
  <si>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</si>
  <si>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</si>
  <si>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</si>
  <si>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</si>
  <si>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</si>
  <si>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</si>
  <si>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</si>
  <si>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</si>
  <si>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</si>
  <si>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</si>
  <si>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</si>
  <si>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</si>
  <si>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</si>
  <si>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</si>
  <si>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</si>
  <si>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</si>
  <si>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</si>
  <si>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</si>
  <si>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</si>
  <si>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</si>
  <si>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</si>
  <si>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</si>
  <si>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</si>
  <si>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</si>
  <si>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</si>
  <si>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</si>
  <si>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</si>
  <si>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</si>
  <si>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</si>
  <si>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</si>
  <si>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</si>
  <si>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</si>
  <si>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</si>
  <si>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</si>
  <si>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</si>
  <si>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</si>
  <si>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</si>
  <si>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</si>
  <si>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</si>
  <si>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</si>
  <si>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</si>
  <si>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</si>
  <si>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</si>
  <si>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</si>
  <si>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</si>
  <si>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</si>
  <si>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</si>
  <si>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</si>
  <si>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</si>
  <si>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</si>
  <si>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</si>
  <si>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</si>
  <si>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</si>
  <si>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</si>
  <si>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</si>
  <si>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</si>
  <si>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</si>
  <si>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</si>
  <si>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</si>
  <si>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</si>
  <si>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</si>
  <si>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</si>
  <si>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</si>
  <si>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</si>
  <si>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</si>
  <si>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</si>
  <si>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</si>
  <si>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</si>
  <si>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</si>
  <si>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</si>
  <si>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</si>
  <si>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</si>
  <si>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</si>
  <si>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</si>
  <si>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</si>
  <si>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</si>
  <si>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</si>
  <si>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</si>
  <si>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</si>
  <si>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</si>
  <si>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</si>
  <si>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</si>
  <si>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</si>
  <si>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</si>
  <si>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</si>
  <si>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</si>
  <si>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</si>
  <si>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</si>
  <si>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</si>
  <si>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</si>
  <si>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</si>
  <si>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</si>
  <si>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</si>
  <si>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</si>
  <si>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</si>
  <si>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</si>
  <si>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</si>
  <si>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</si>
  <si>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</si>
  <si>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</si>
  <si>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</si>
  <si>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</si>
  <si>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</si>
  <si>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</si>
  <si>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</si>
  <si>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</si>
  <si>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</si>
  <si>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</si>
  <si>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</si>
  <si>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</si>
  <si>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</si>
  <si>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</si>
  <si>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</si>
  <si>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</si>
  <si>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</si>
  <si>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</si>
  <si>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</si>
  <si>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</si>
  <si>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</si>
  <si>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</si>
  <si>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</si>
  <si>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</si>
  <si>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</si>
  <si>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</si>
  <si>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</si>
  <si>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</si>
  <si>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</si>
  <si>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</si>
  <si>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</si>
  <si>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</si>
  <si>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</si>
  <si>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</si>
  <si>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</si>
  <si>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</si>
  <si>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</si>
  <si>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</si>
  <si>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</si>
  <si>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</si>
  <si>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</si>
  <si>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</si>
  <si>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</si>
  <si>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</si>
  <si>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</si>
  <si>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</si>
  <si>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</si>
  <si>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</si>
  <si>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</si>
  <si>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</si>
  <si>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</si>
  <si>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</si>
  <si>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</si>
  <si>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</si>
  <si>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</si>
  <si>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</si>
  <si>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</si>
  <si>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</si>
  <si>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</si>
  <si>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</si>
  <si>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</si>
  <si>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</si>
  <si>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</si>
  <si>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</si>
  <si>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</si>
  <si>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</si>
  <si>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</si>
  <si>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</si>
  <si>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</si>
  <si>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</si>
  <si>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</si>
  <si>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</si>
  <si>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</si>
  <si>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</si>
  <si>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</si>
  <si>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</si>
  <si>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</si>
  <si>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</si>
  <si>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</si>
  <si>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</si>
  <si>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</si>
  <si>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</si>
  <si>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</si>
  <si>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</si>
  <si>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</si>
  <si>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</si>
  <si>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</si>
  <si>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</si>
  <si>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</si>
  <si>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</si>
  <si>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</si>
  <si>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</si>
  <si>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</si>
  <si>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</si>
  <si>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</si>
  <si>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</si>
  <si>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</si>
  <si>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</si>
  <si>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</si>
  <si>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</si>
  <si>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</si>
  <si>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</si>
  <si>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</si>
  <si>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</si>
  <si>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</si>
  <si>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</si>
  <si>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</si>
  <si>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</si>
  <si>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</si>
  <si>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</si>
  <si>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</si>
  <si>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</si>
  <si>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</si>
  <si>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</si>
  <si>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</si>
  <si>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</si>
  <si>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</si>
  <si>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</si>
  <si>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</si>
  <si>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</si>
  <si>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</si>
  <si>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</si>
  <si>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</si>
  <si>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</si>
  <si>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</si>
  <si>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</si>
  <si>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</si>
  <si>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</si>
  <si>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</si>
  <si>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</si>
  <si>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</si>
  <si>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</si>
  <si>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</si>
  <si>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</si>
  <si>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</si>
  <si>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</si>
  <si>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</si>
  <si>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</si>
  <si>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</si>
  <si>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</si>
  <si>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</si>
  <si>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</si>
  <si>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</si>
  <si>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</si>
  <si>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</si>
  <si>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</si>
  <si>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</si>
  <si>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</si>
  <si>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</si>
  <si>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</si>
  <si>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</si>
  <si>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</si>
  <si>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</si>
  <si>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</si>
  <si>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</si>
  <si>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</si>
  <si>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</si>
  <si>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</si>
  <si>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</si>
  <si>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</si>
  <si>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</si>
  <si>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</si>
  <si>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</si>
  <si>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</si>
  <si>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</si>
  <si>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</si>
  <si>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</si>
  <si>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</si>
  <si>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</si>
  <si>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</si>
  <si>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</si>
  <si>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</si>
  <si>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</si>
  <si>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</si>
  <si>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</si>
  <si>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</si>
  <si>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</si>
  <si>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</si>
  <si>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</si>
  <si>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</si>
  <si>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</si>
  <si>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</si>
  <si>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</si>
  <si>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</si>
  <si>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</si>
  <si>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</si>
  <si>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</si>
  <si>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</si>
  <si>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</si>
  <si>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</si>
  <si>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</si>
  <si>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</si>
  <si>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</si>
  <si>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</si>
  <si>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</si>
  <si>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</si>
  <si>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</si>
  <si>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</si>
  <si>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</si>
  <si>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</si>
  <si>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</si>
  <si>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</si>
  <si>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</si>
  <si>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</si>
  <si>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</si>
  <si>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</si>
  <si>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</si>
  <si>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</si>
  <si>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</si>
  <si>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</si>
  <si>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</si>
  <si>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</si>
  <si>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</si>
  <si>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</si>
  <si>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</si>
  <si>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</si>
  <si>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</si>
  <si>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</si>
  <si>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</si>
  <si>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</si>
  <si>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</si>
  <si>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</si>
  <si>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</si>
  <si>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</si>
  <si>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</si>
  <si>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</si>
  <si>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</si>
  <si>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</si>
  <si>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</si>
  <si>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</si>
  <si>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</si>
  <si>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</si>
  <si>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</si>
  <si>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</si>
  <si>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</si>
  <si>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</si>
  <si>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</si>
  <si>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</si>
  <si>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</si>
  <si>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</si>
  <si>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</si>
  <si>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</si>
  <si>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</si>
  <si>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</si>
  <si>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</si>
  <si>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</si>
  <si>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</si>
  <si>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</si>
  <si>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</si>
  <si>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</si>
  <si>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</si>
  <si>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</si>
  <si>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</si>
  <si>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</si>
  <si>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</si>
  <si>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</si>
  <si>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</si>
  <si>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</si>
  <si>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</si>
  <si>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</si>
  <si>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</si>
  <si>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</si>
  <si>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</si>
  <si>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</si>
  <si>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</si>
  <si>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</si>
  <si>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</si>
  <si>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</si>
  <si>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</si>
  <si>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</si>
  <si>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</si>
  <si>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</si>
  <si>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</si>
  <si>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</si>
  <si>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</si>
  <si>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</si>
  <si>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</si>
  <si>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</si>
  <si>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</si>
  <si>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</si>
  <si>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</si>
  <si>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</si>
  <si>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</si>
  <si>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</si>
  <si>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</si>
  <si>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</si>
  <si>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</si>
  <si>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</si>
  <si>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</si>
  <si>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</si>
  <si>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</si>
  <si>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</si>
  <si>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</si>
  <si>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</si>
  <si>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</si>
  <si>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</si>
  <si>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</si>
  <si>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</si>
  <si>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</si>
  <si>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</si>
  <si>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</si>
  <si>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</si>
  <si>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</si>
  <si>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</si>
  <si>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</si>
  <si>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</si>
  <si>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</si>
  <si>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</si>
  <si>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</si>
  <si>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</si>
  <si>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</si>
  <si>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</si>
  <si>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</si>
  <si>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</si>
  <si>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</si>
  <si>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</si>
  <si>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</si>
  <si>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</si>
  <si>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</si>
  <si>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</si>
  <si>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</si>
  <si>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</si>
  <si>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</si>
  <si>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</si>
  <si>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</si>
  <si>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</si>
  <si>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</si>
  <si>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</si>
  <si>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</si>
  <si>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</si>
  <si>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</si>
  <si>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</si>
  <si>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</si>
  <si>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</si>
  <si>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</si>
  <si>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</si>
  <si>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</si>
  <si>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</si>
  <si>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</si>
  <si>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</si>
  <si>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</si>
  <si>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</si>
  <si>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</si>
  <si>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</si>
  <si>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</si>
  <si>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</si>
  <si>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</si>
  <si>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</si>
  <si>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</si>
  <si>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</si>
  <si>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</si>
  <si>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</si>
  <si>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</si>
  <si>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</si>
  <si>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</si>
  <si>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</si>
  <si>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</si>
  <si>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</si>
  <si>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</si>
  <si>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</si>
  <si>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</si>
  <si>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</si>
  <si>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</si>
  <si>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</si>
  <si>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</si>
  <si>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</si>
  <si>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</si>
  <si>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</si>
  <si>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</si>
  <si>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</si>
  <si>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</si>
  <si>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</si>
  <si>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</si>
  <si>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</si>
  <si>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</si>
  <si>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</si>
  <si>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</si>
  <si>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</si>
  <si>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</si>
  <si>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</si>
  <si>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</si>
  <si>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</si>
  <si>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</si>
  <si>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</si>
  <si>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</si>
  <si>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</si>
  <si>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</si>
  <si>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</si>
  <si>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</si>
  <si>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</si>
  <si>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</si>
  <si>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</si>
  <si>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</si>
  <si>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</si>
  <si>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</si>
  <si>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</si>
  <si>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</si>
  <si>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</si>
  <si>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</si>
  <si>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</si>
  <si>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</si>
  <si>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</si>
  <si>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</si>
  <si>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</si>
  <si>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</si>
  <si>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</si>
  <si>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</si>
  <si>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</si>
  <si>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</si>
  <si>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</si>
  <si>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</si>
  <si>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</si>
  <si>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</si>
  <si>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</si>
  <si>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</si>
  <si>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</si>
  <si>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</si>
  <si>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</si>
  <si>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</si>
  <si>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</si>
  <si>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</si>
  <si>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</si>
  <si>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</si>
  <si>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</si>
  <si>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</si>
  <si>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</si>
  <si>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</si>
  <si>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</si>
  <si>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</si>
  <si>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</si>
  <si>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</si>
  <si>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</si>
  <si>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</si>
  <si>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</si>
  <si>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</si>
  <si>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</si>
  <si>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</si>
  <si>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</si>
  <si>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</si>
  <si>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</si>
  <si>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</si>
  <si>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</si>
  <si>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</si>
  <si>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</si>
  <si>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</si>
  <si>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</si>
  <si>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</si>
  <si>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</si>
  <si>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</si>
  <si>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</si>
  <si>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</si>
  <si>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</si>
  <si>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</si>
  <si>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</si>
  <si>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</si>
  <si>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</si>
  <si>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</si>
  <si>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</si>
  <si>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</si>
  <si>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</si>
  <si>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</si>
  <si>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</si>
  <si>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</si>
  <si>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</si>
  <si>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</si>
  <si>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</si>
  <si>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</si>
  <si>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</si>
  <si>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</si>
  <si>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</si>
  <si>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</si>
  <si>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</si>
  <si>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</si>
  <si>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</si>
  <si>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</si>
  <si>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</si>
  <si>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</si>
  <si>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</si>
  <si>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</si>
  <si>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</si>
  <si>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</si>
  <si>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</si>
  <si>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</si>
  <si>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</si>
  <si>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</si>
  <si>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</si>
  <si>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</si>
  <si>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</si>
  <si>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</si>
  <si>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</si>
  <si>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</si>
  <si>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</si>
  <si>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</si>
  <si>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</si>
  <si>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</si>
  <si>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</si>
  <si>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</si>
  <si>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</si>
  <si>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</si>
  <si>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</si>
  <si>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</si>
  <si>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</si>
  <si>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</si>
  <si>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</si>
  <si>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</si>
  <si>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</si>
  <si>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</si>
  <si>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</si>
  <si>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</si>
  <si>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</si>
  <si>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</si>
  <si>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</si>
  <si>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</si>
  <si>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</si>
  <si>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</si>
  <si>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</si>
  <si>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</si>
  <si>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</si>
  <si>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</si>
  <si>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</si>
  <si>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</si>
  <si>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</si>
  <si>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</si>
  <si>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</si>
  <si>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</si>
  <si>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</si>
  <si>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</si>
  <si>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</si>
  <si>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</si>
  <si>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</si>
  <si>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</si>
  <si>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</si>
  <si>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</si>
  <si>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</si>
  <si>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</si>
  <si>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</si>
  <si>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</si>
  <si>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</si>
  <si>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</si>
  <si>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</si>
  <si>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</si>
  <si>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</si>
  <si>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</si>
  <si>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</si>
  <si>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</si>
  <si>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</si>
  <si>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</si>
  <si>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</si>
  <si>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</si>
  <si>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</si>
  <si>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</si>
  <si>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</si>
  <si>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</si>
  <si>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</si>
  <si>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</si>
  <si>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</si>
  <si>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</si>
  <si>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</si>
  <si>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</si>
  <si>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</si>
  <si>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</si>
  <si>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</si>
  <si>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</si>
  <si>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</si>
  <si>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</si>
  <si>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</si>
  <si>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</si>
  <si>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</si>
  <si>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</si>
  <si>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</si>
  <si>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</si>
  <si>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</si>
  <si>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</si>
  <si>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</si>
  <si>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</si>
  <si>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</si>
  <si>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</si>
  <si>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</si>
  <si>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</si>
  <si>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</si>
  <si>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</si>
  <si>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</si>
  <si>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</si>
  <si>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</si>
  <si>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</si>
  <si>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</si>
  <si>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</si>
  <si>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</si>
  <si>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</si>
  <si>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</si>
  <si>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</si>
  <si>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</si>
  <si>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</si>
  <si>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</si>
  <si>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</si>
  <si>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</si>
  <si>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</si>
  <si>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</si>
  <si>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</si>
  <si>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</si>
  <si>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</si>
  <si>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</si>
  <si>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</si>
  <si>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</si>
  <si>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</si>
  <si>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</si>
  <si>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</si>
  <si>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</si>
  <si>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</si>
  <si>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</si>
  <si>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</si>
  <si>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</si>
  <si>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</si>
  <si>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</si>
  <si>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</si>
  <si>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</si>
  <si>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</si>
  <si>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</si>
  <si>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</si>
  <si>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</si>
  <si>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</si>
  <si>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</si>
  <si>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</si>
  <si>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</si>
  <si>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</si>
  <si>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</si>
  <si>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</si>
  <si>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</si>
  <si>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</si>
  <si>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</si>
  <si>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</si>
  <si>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</si>
  <si>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</si>
  <si>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</si>
  <si>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</si>
  <si>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</si>
  <si>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</si>
  <si>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</si>
  <si>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</si>
  <si>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</si>
  <si>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</si>
  <si>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</si>
  <si>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</si>
  <si>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</si>
  <si>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</si>
  <si>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</si>
  <si>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</si>
  <si>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</si>
  <si>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</si>
  <si>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</si>
  <si>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</si>
  <si>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</si>
  <si>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</si>
  <si>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</si>
  <si>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</si>
  <si>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</si>
  <si>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</si>
  <si>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</si>
  <si>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</si>
  <si>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from 1-2</t>
  </si>
  <si>
    <t>Fabril Solutions ltd</t>
  </si>
  <si>
    <t xml:space="preserve">from 2-4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</si>
</sst>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 wrapText="1"/>
    </xf>
    <xf numFmtId="0" fontId="11" fillId="0" borderId="1" xfId="0" applyFont="1" applyFill="1" applyBorder="1" applyAlignment="1">
      <alignment horizontal="center" vertical="center"/>
    </xf>
    <xf numFmtId="44" fontId="11" fillId="0" borderId="1" xfId="1" applyFont="1" applyFill="1" applyBorder="1" applyAlignment="1">
      <alignment horizontal="center" vertical="center"/>
    </xf>
    <xf numFmtId="44" fontId="11" fillId="0" borderId="9" xfId="1" applyFont="1" applyFill="1" applyBorder="1" applyAlignment="1">
      <alignment vertical="center"/>
    </xf>
  </cellXfs>
  <cellStyles count="2">
    <cellStyle name="Currency" xfId="1" builtinId="4"/>
    <cellStyle name="Normal" xfId="0" builtinId="0"/>
  </cellStyles>
  <dxfs count="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35"/>
  <sheetViews>
    <sheetView tabSelected="1" topLeftCell="A10" zoomScale="70" zoomScaleNormal="70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R24" sqref="R24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2622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2639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 t="s">
        <v>2681</v>
      </c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88" t="s">
        <v>1359</v>
      </c>
      <c r="B15" s="89" t="str">
        <f>IFERROR(INDEX('Code Description&amp;Unit (Hidden)'!$B:$B,MATCH('Variation Form (Cost)'!A15,'Code Description&amp;Unit (Hidden)'!$A:$A,0)),"")</f>
        <v>Code NGA-D01 - Inside Boundary Trenching - Base Rate</v>
      </c>
      <c r="C15" s="89" t="str">
        <f>IFERROR(INDEX('Code Description&amp;Unit (Hidden)'!$C:$C,MATCH('Variation Form (Cost)'!A15,'Code Description&amp;Unit (Hidden)'!$A:$A,0)),"")</f>
        <v>each</v>
      </c>
      <c r="D15" s="90" t="s">
        <v>2680</v>
      </c>
      <c r="E15" s="91">
        <v>-2</v>
      </c>
      <c r="F15" s="92">
        <f>IFERROR(VLOOKUP(A15,'Code Description&amp;Unit (Hidden)'!A:D,4,FALSE),"")</f>
        <v>21.97</v>
      </c>
      <c r="G15" s="93">
        <f t="shared" ref="G15:G28" si="0">IFERROR(F15*E15,"")</f>
        <v>-43.94</v>
      </c>
      <c r="I15" s="10" t="e">
        <f>A15&amp;$E$8&amp;#REF!</f>
        <v>#REF!</v>
      </c>
    </row>
    <row r="16" spans="1:9" s="10" customFormat="1" ht="28.9" customHeight="1" x14ac:dyDescent="0.25">
      <c r="A16" s="88" t="s">
        <v>1359</v>
      </c>
      <c r="B16" s="89" t="str">
        <f>IFERROR(INDEX('Code Description&amp;Unit (Hidden)'!$B:$B,MATCH('Variation Form (Cost)'!A16,'Code Description&amp;Unit (Hidden)'!$A:$A,0)),"")</f>
        <v>Code NGA-D01 - Inside Boundary Trenching - Base Rate</v>
      </c>
      <c r="C16" s="89" t="str">
        <f>IFERROR(INDEX('Code Description&amp;Unit (Hidden)'!$C:$C,MATCH('Variation Form (Cost)'!A16,'Code Description&amp;Unit (Hidden)'!$A:$A,0)),"")</f>
        <v>each</v>
      </c>
      <c r="D16" s="90" t="s">
        <v>2680</v>
      </c>
      <c r="E16" s="91">
        <v>1.3</v>
      </c>
      <c r="F16" s="92">
        <f>IFERROR(VLOOKUP(A16,'Code Description&amp;Unit (Hidden)'!A:D,4,FALSE),"")</f>
        <v>21.97</v>
      </c>
      <c r="G16" s="93">
        <f t="shared" si="0"/>
        <v>28.561</v>
      </c>
      <c r="I16" s="10" t="e">
        <f>A16&amp;$E$8&amp;#REF!</f>
        <v>#REF!</v>
      </c>
    </row>
    <row r="17" spans="1:9" s="10" customFormat="1" ht="28.9" customHeight="1" x14ac:dyDescent="0.25">
      <c r="A17" s="88" t="s">
        <v>1278</v>
      </c>
      <c r="B17" s="89" t="str">
        <f>IFERROR(INDEX('Code Description&amp;Unit (Hidden)'!$B:$B,MATCH('Variation Form (Cost)'!A17,'Code Description&amp;Unit (Hidden)'!$A:$A,0)),"")</f>
        <v>Code NGA-733 Install Surface Mounted Service Conduit</v>
      </c>
      <c r="C17" s="89" t="str">
        <f>IFERROR(INDEX('Code Description&amp;Unit (Hidden)'!$C:$C,MATCH('Variation Form (Cost)'!A17,'Code Description&amp;Unit (Hidden)'!$A:$A,0)),"")</f>
        <v>each</v>
      </c>
      <c r="D17" s="90" t="s">
        <v>2682</v>
      </c>
      <c r="E17" s="91">
        <v>-4</v>
      </c>
      <c r="F17" s="92">
        <f>IFERROR(VLOOKUP(A17,'Code Description&amp;Unit (Hidden)'!A:D,4,FALSE),"")</f>
        <v>5.75</v>
      </c>
      <c r="G17" s="93">
        <f t="shared" si="0"/>
        <v>-23</v>
      </c>
      <c r="I17" s="10" t="e">
        <f>A17&amp;$E$8&amp;#REF!</f>
        <v>#REF!</v>
      </c>
    </row>
    <row r="18" spans="1:9" s="10" customFormat="1" ht="28.9" customHeight="1" x14ac:dyDescent="0.25">
      <c r="A18" s="15" t="s">
        <v>2365</v>
      </c>
      <c r="B18" s="7" t="str">
        <f>IFERROR(INDEX('Code Description&amp;Unit (Hidden)'!$B:$B,MATCH('Variation Form (Cost)'!A18,'Code Description&amp;Unit (Hidden)'!$A:$A,0)),"")</f>
        <v/>
      </c>
      <c r="C18" s="7" t="str">
        <f>IFERROR(INDEX('Code Description&amp;Unit (Hidden)'!$C:$C,MATCH('Variation Form (Cost)'!A18,'Code Description&amp;Unit (Hidden)'!$A:$A,0)),"")</f>
        <v/>
      </c>
      <c r="D18" s="29" t="s">
        <v>2618</v>
      </c>
      <c r="E18" s="11"/>
      <c r="F18" s="12" t="str">
        <f>IFERROR(VLOOKUP(A18,'Code Description&amp;Unit (Hidden)'!A:D,4,FALSE),"")</f>
        <v/>
      </c>
      <c r="G18" s="16" t="str">
        <f t="shared" si="0"/>
        <v/>
      </c>
      <c r="I18" s="10" t="e">
        <f>A18&amp;$E$8&amp;#REF!</f>
        <v>#REF!</v>
      </c>
    </row>
    <row r="19" spans="1:9" s="10" customFormat="1" ht="28.9" customHeight="1" x14ac:dyDescent="0.25">
      <c r="A19" s="15" t="s">
        <v>2365</v>
      </c>
      <c r="B19" s="7" t="str">
        <f>IFERROR(INDEX('Code Description&amp;Unit (Hidden)'!$B:$B,MATCH('Variation Form (Cost)'!A19,'Code Description&amp;Unit (Hidden)'!$A:$A,0)),"")</f>
        <v/>
      </c>
      <c r="C19" s="7" t="str">
        <f>IFERROR(INDEX('Code Description&amp;Unit (Hidden)'!$C:$C,MATCH('Variation Form (Cost)'!A19,'Code Description&amp;Unit (Hidden)'!$A:$A,0)),"")</f>
        <v/>
      </c>
      <c r="D19" s="29" t="s">
        <v>2618</v>
      </c>
      <c r="E19" s="11"/>
      <c r="F19" s="12" t="str">
        <f>IFERROR(VLOOKUP(A19,'Code Description&amp;Unit (Hidden)'!A:D,4,FALSE),"")</f>
        <v/>
      </c>
      <c r="G19" s="16" t="str">
        <f t="shared" si="0"/>
        <v/>
      </c>
      <c r="I19" s="10" t="e">
        <f>A19&amp;$E$8&amp;#REF!</f>
        <v>#REF!</v>
      </c>
    </row>
    <row r="20" spans="1:9" s="10" customFormat="1" ht="28.9" customHeight="1" x14ac:dyDescent="0.25">
      <c r="A20" s="15" t="s">
        <v>2365</v>
      </c>
      <c r="B20" s="7" t="str">
        <f>IFERROR(INDEX('Code Description&amp;Unit (Hidden)'!$B:$B,MATCH('Variation Form (Cost)'!A20,'Code Description&amp;Unit (Hidden)'!$A:$A,0)),"")</f>
        <v/>
      </c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28"/>
      <c r="F20" s="12" t="str">
        <f>IFERROR(VLOOKUP(A20,'Code Description&amp;Unit (Hidden)'!A:D,4,FALSE),"")</f>
        <v/>
      </c>
      <c r="G20" s="16" t="str">
        <f t="shared" si="0"/>
        <v/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28"/>
      <c r="F21" s="12" t="str">
        <f>IFERROR(VLOOKUP(A21,'Code Description&amp;Unit (Hidden)'!A:D,4,FALSE),"")</f>
        <v/>
      </c>
      <c r="G21" s="16" t="str">
        <f t="shared" si="0"/>
        <v/>
      </c>
    </row>
    <row r="22" spans="1:9" s="10" customFormat="1" ht="15.75" thickBot="1" x14ac:dyDescent="0.3">
      <c r="A22" s="82" t="s">
        <v>2616</v>
      </c>
      <c r="B22" s="83"/>
      <c r="C22" s="83"/>
      <c r="D22" s="83"/>
      <c r="E22" s="83"/>
      <c r="F22" s="83"/>
      <c r="G22" s="83"/>
    </row>
    <row r="23" spans="1:9" s="10" customFormat="1" ht="28.9" customHeight="1" x14ac:dyDescent="0.25">
      <c r="A23" s="15" t="s">
        <v>2632</v>
      </c>
      <c r="B23" s="7"/>
      <c r="C23" s="7"/>
      <c r="D23" s="29" t="s">
        <v>2619</v>
      </c>
      <c r="E23" s="28"/>
      <c r="F23" s="12"/>
      <c r="G23" s="16"/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2619</v>
      </c>
      <c r="E24" s="28"/>
      <c r="F24" s="12" t="str">
        <f>IFERROR(VLOOKUP(A24,'Code Description&amp;Unit (Hidden)'!A:D,4,FALSE),"")</f>
        <v/>
      </c>
      <c r="G24" s="16" t="str">
        <f t="shared" si="0"/>
        <v/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2619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2619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2619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2619</v>
      </c>
      <c r="E28" s="17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2619</v>
      </c>
      <c r="E29" s="17"/>
      <c r="F29" s="12" t="str">
        <f>IFERROR(VLOOKUP(A29,'Code Description&amp;Unit (Hidden)'!A:D,4,FALSE),"")</f>
        <v/>
      </c>
      <c r="G29" s="16" t="str">
        <f t="shared" ref="G29" si="1">IFERROR(F29*E29,"")</f>
        <v/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2619</v>
      </c>
      <c r="E30" s="17"/>
      <c r="F30" s="12" t="str">
        <f>IFERROR(VLOOKUP(A30,'Code Description&amp;Unit (Hidden)'!A:D,4,FALSE),"")</f>
        <v/>
      </c>
      <c r="G30" s="16" t="str">
        <f t="shared" ref="G30:G31" si="2">IFERROR(F30*E30,"")</f>
        <v/>
      </c>
    </row>
    <row r="31" spans="1:9" s="10" customFormat="1" ht="28.9" customHeight="1" thickBot="1" x14ac:dyDescent="0.3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2619</v>
      </c>
      <c r="E31" s="17"/>
      <c r="F31" s="12" t="str">
        <f>IFERROR(VLOOKUP(A31,'Code Description&amp;Unit (Hidden)'!A:D,4,FALSE),"")</f>
        <v/>
      </c>
      <c r="G31" s="16" t="str">
        <f t="shared" si="2"/>
        <v/>
      </c>
    </row>
    <row r="32" spans="1:9" s="10" customFormat="1" ht="28.9" customHeight="1" thickBot="1" x14ac:dyDescent="0.3">
      <c r="A32" s="68" t="s">
        <v>2592</v>
      </c>
      <c r="B32" s="69"/>
      <c r="C32" s="69"/>
      <c r="D32" s="69"/>
      <c r="E32" s="69"/>
      <c r="F32" s="70"/>
      <c r="G32" s="18">
        <f>SUM(G15:G31)</f>
        <v>-38.378999999999998</v>
      </c>
    </row>
    <row r="33" spans="1:7" x14ac:dyDescent="0.25">
      <c r="A33" s="13"/>
      <c r="B33" s="6"/>
      <c r="C33" s="6"/>
      <c r="D33" s="6"/>
      <c r="E33" s="6"/>
      <c r="F33" s="6"/>
      <c r="G33" s="14"/>
    </row>
    <row r="34" spans="1:7" x14ac:dyDescent="0.25">
      <c r="A34" s="56" t="s">
        <v>2593</v>
      </c>
      <c r="B34" s="57"/>
      <c r="C34" s="57"/>
      <c r="D34" s="57"/>
      <c r="E34" s="57"/>
      <c r="F34" s="57"/>
      <c r="G34" s="58"/>
    </row>
    <row r="35" spans="1:7" ht="15.75" thickBot="1" x14ac:dyDescent="0.3">
      <c r="A35" s="59" t="s">
        <v>2589</v>
      </c>
      <c r="B35" s="60"/>
      <c r="C35" s="60"/>
      <c r="D35" s="60"/>
      <c r="E35" s="60"/>
      <c r="F35" s="60"/>
      <c r="G35" s="61"/>
    </row>
  </sheetData>
  <mergeCells count="12">
    <mergeCell ref="A34:G34"/>
    <mergeCell ref="A35:G35"/>
    <mergeCell ref="A4:G4"/>
    <mergeCell ref="A5:G5"/>
    <mergeCell ref="A32:F32"/>
    <mergeCell ref="A11:G11"/>
    <mergeCell ref="A12:G12"/>
    <mergeCell ref="A6:G6"/>
    <mergeCell ref="B9:G9"/>
    <mergeCell ref="B10:G10"/>
    <mergeCell ref="A22:G22"/>
    <mergeCell ref="B8:G8"/>
  </mergeCells>
  <conditionalFormatting sqref="A23:G31 A15:G21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D23:D31</xm:sqref>
        </x14:dataValidation>
        <x14:dataValidation type="list" allowBlank="1" showInputMessage="1" showErrorMessage="1">
          <x14:formula1>
            <xm:f>'Build Up (Hidden)'!$AA$1:$AA$17</xm:f>
          </x14:formula1>
          <xm:sqref>A23:A31</xm:sqref>
        </x14:dataValidation>
        <x14:dataValidation type="list" allowBlank="1" showInputMessage="1" showErrorMessage="1">
          <x14:formula1>
            <xm:f>'Build Up (Hidden)'!$A$1:$A$175</xm:f>
          </x14:formula1>
          <xm:sqref>A15:A21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87" t="s">
        <v>2649</v>
      </c>
      <c r="C2" s="87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2018-04-22T23:08:13Z</dcterms:modified>
</cp:coreProperties>
</file>
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(Cost)'!$A$1:$G$54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4" l="1"/>
  <c r="C43" i="4"/>
  <c r="F43" i="4"/>
  <c r="G43" i="4" s="1"/>
  <c r="B44" i="4" l="1"/>
  <c r="C44" i="4"/>
  <c r="F44" i="4"/>
  <c r="G44" i="4" s="1"/>
  <c r="B45" i="4"/>
  <c r="C45" i="4"/>
  <c r="F45" i="4"/>
  <c r="G45" i="4" s="1"/>
  <c r="B46" i="4"/>
  <c r="C46" i="4"/>
  <c r="F46" i="4"/>
  <c r="G46" i="4" s="1"/>
  <c r="B47" i="4"/>
  <c r="C47" i="4"/>
  <c r="F47" i="4"/>
  <c r="G47" i="4" s="1"/>
  <c r="B48" i="4"/>
  <c r="C48" i="4"/>
  <c r="F48" i="4"/>
  <c r="G48" i="4" s="1"/>
  <c r="B49" i="4"/>
  <c r="C49" i="4"/>
  <c r="F49" i="4"/>
  <c r="G49" i="4" s="1"/>
  <c r="B50" i="4"/>
  <c r="C50" i="4"/>
  <c r="F50" i="4"/>
  <c r="G50" i="4" s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I15" i="4" l="1"/>
  <c r="I16" i="4"/>
  <c r="I26" i="4"/>
  <c r="I27" i="4"/>
  <c r="I28" i="4"/>
  <c r="I29" i="4"/>
  <c r="I30" i="4"/>
  <c r="I38" i="4"/>
  <c r="I39" i="4"/>
  <c r="I40" i="4"/>
  <c r="I44" i="4"/>
  <c r="I45" i="4"/>
  <c r="I47" i="4"/>
  <c r="G51" i="4" l="1"/>
</calcChain>
</file>

<file path=xl/sharedStrings.xml><?xml version="1.0" encoding="utf-8"?>
<sst xmlns="http://schemas.openxmlformats.org/spreadsheetml/2006/main" count="29912" uniqueCount="2692">
  <si>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</si>
  <si>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</si>
  <si>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</si>
  <si>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</si>
  <si>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</si>
  <si>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</si>
  <si>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</si>
  <si>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</si>
  <si>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</si>
  <si>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</si>
  <si>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</si>
  <si>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</si>
  <si>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</si>
  <si>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</si>
  <si>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</si>
  <si>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</si>
  <si>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</si>
  <si>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</si>
  <si>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</si>
  <si>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</si>
  <si>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</si>
  <si>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</si>
  <si>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</si>
  <si>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</si>
  <si>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</si>
  <si>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</si>
  <si>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</si>
  <si>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</si>
  <si>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</si>
  <si>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</si>
  <si>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</si>
  <si>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</si>
  <si>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</si>
  <si>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</si>
  <si>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</si>
  <si>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</si>
  <si>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</si>
  <si>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</si>
  <si>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</si>
  <si>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</si>
  <si>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</si>
  <si>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</si>
  <si>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</si>
  <si>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</si>
  <si>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</si>
  <si>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</si>
  <si>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</si>
  <si>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</si>
  <si>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</si>
  <si>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</si>
  <si>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</si>
  <si>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</si>
  <si>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</si>
  <si>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</si>
  <si>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</si>
  <si>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</si>
  <si>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</si>
  <si>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</si>
  <si>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</si>
  <si>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</si>
  <si>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</si>
  <si>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</si>
  <si>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</si>
  <si>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</si>
  <si>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</si>
  <si>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</si>
  <si>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</si>
  <si>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</si>
  <si>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</si>
  <si>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</si>
  <si>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</si>
  <si>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</si>
  <si>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</si>
  <si>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</si>
  <si>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</si>
  <si>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</si>
  <si>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</si>
  <si>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</si>
  <si>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</si>
  <si>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</si>
  <si>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</si>
  <si>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</si>
  <si>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</si>
  <si>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</si>
  <si>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</si>
  <si>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</si>
  <si>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</si>
  <si>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</si>
  <si>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</si>
  <si>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</si>
  <si>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</si>
  <si>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</si>
  <si>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</si>
  <si>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</si>
  <si>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</si>
  <si>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</si>
  <si>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</si>
  <si>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</si>
  <si>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</si>
  <si>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</si>
  <si>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</si>
  <si>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</si>
  <si>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</si>
  <si>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</si>
  <si>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</si>
  <si>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</si>
  <si>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</si>
  <si>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</si>
  <si>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</si>
  <si>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</si>
  <si>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</si>
  <si>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</si>
  <si>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</si>
  <si>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</si>
  <si>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</si>
  <si>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</si>
  <si>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</si>
  <si>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</si>
  <si>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</si>
  <si>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</si>
  <si>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</si>
  <si>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</si>
  <si>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</si>
  <si>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</si>
  <si>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</si>
  <si>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</si>
  <si>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</si>
  <si>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</si>
  <si>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</si>
  <si>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</si>
  <si>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</si>
  <si>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</si>
  <si>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</si>
  <si>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</si>
  <si>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</si>
  <si>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</si>
  <si>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</si>
  <si>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</si>
  <si>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</si>
  <si>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</si>
  <si>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</si>
  <si>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</si>
  <si>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</si>
  <si>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</si>
  <si>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</si>
  <si>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</si>
  <si>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</si>
  <si>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</si>
  <si>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</si>
  <si>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</si>
  <si>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</si>
  <si>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</si>
  <si>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</si>
  <si>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</si>
  <si>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</si>
  <si>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</si>
  <si>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</si>
  <si>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</si>
  <si>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</si>
  <si>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</si>
  <si>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</si>
  <si>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</si>
  <si>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</si>
  <si>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</si>
  <si>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</si>
  <si>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</si>
  <si>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</si>
  <si>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</si>
  <si>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</si>
  <si>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</si>
  <si>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</si>
  <si>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</si>
  <si>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</si>
  <si>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</si>
  <si>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</si>
  <si>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</si>
  <si>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</si>
  <si>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</si>
  <si>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</si>
  <si>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</si>
  <si>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</si>
  <si>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</si>
  <si>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</si>
  <si>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</si>
  <si>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</si>
  <si>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</si>
  <si>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</si>
  <si>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</si>
  <si>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</si>
  <si>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</si>
  <si>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</si>
  <si>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</si>
  <si>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</si>
  <si>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</si>
  <si>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</si>
  <si>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</si>
  <si>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</si>
  <si>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</si>
  <si>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</si>
  <si>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</si>
  <si>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</si>
  <si>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</si>
  <si>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</si>
  <si>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</si>
  <si>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</si>
  <si>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</si>
  <si>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</si>
  <si>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</si>
  <si>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</si>
  <si>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</si>
  <si>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</si>
  <si>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</si>
  <si>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</si>
  <si>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</si>
  <si>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</si>
  <si>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</si>
  <si>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</si>
  <si>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</si>
  <si>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</si>
  <si>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</si>
  <si>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</si>
  <si>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</si>
  <si>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</si>
  <si>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</si>
  <si>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</si>
  <si>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</si>
  <si>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</si>
  <si>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</si>
  <si>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</si>
  <si>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</si>
  <si>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</si>
  <si>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</si>
  <si>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</si>
  <si>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</si>
  <si>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</si>
  <si>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</si>
  <si>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</si>
  <si>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</si>
  <si>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</si>
  <si>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</si>
  <si>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</si>
  <si>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</si>
  <si>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</si>
  <si>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</si>
  <si>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</si>
  <si>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</si>
  <si>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</si>
  <si>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</si>
  <si>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</si>
  <si>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</si>
  <si>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</si>
  <si>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</si>
  <si>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</si>
  <si>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</si>
  <si>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</si>
  <si>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</si>
  <si>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</si>
  <si>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</si>
  <si>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</si>
  <si>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</si>
  <si>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</si>
  <si>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</si>
  <si>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</si>
  <si>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</si>
  <si>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</si>
  <si>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</si>
  <si>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</si>
  <si>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</si>
  <si>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</si>
  <si>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</si>
  <si>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</si>
  <si>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</si>
  <si>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</si>
  <si>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</si>
  <si>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</si>
  <si>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</si>
  <si>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</si>
  <si>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</si>
  <si>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</si>
  <si>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</si>
  <si>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</si>
  <si>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</si>
  <si>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</si>
  <si>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</si>
  <si>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</si>
  <si>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</si>
  <si>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</si>
  <si>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</si>
  <si>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</si>
  <si>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</si>
  <si>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</si>
  <si>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</si>
  <si>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</si>
  <si>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</si>
  <si>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</si>
  <si>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</si>
  <si>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</si>
  <si>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</si>
  <si>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</si>
  <si>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</si>
  <si>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</si>
  <si>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</si>
  <si>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</si>
  <si>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</si>
  <si>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</si>
  <si>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</si>
  <si>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</si>
  <si>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</si>
  <si>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</si>
  <si>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</si>
  <si>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</si>
  <si>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</si>
  <si>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</si>
  <si>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</si>
  <si>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</si>
  <si>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</si>
  <si>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</si>
  <si>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</si>
  <si>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</si>
  <si>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</si>
  <si>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</si>
  <si>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</si>
  <si>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</si>
  <si>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</si>
  <si>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</si>
  <si>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</si>
  <si>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</si>
  <si>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</si>
  <si>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</si>
  <si>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</si>
  <si>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</si>
  <si>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</si>
  <si>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</si>
  <si>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</si>
  <si>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</si>
  <si>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</si>
  <si>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</si>
  <si>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</si>
  <si>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</si>
  <si>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</si>
  <si>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</si>
  <si>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</si>
  <si>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</si>
  <si>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</si>
  <si>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</si>
  <si>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</si>
  <si>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</si>
  <si>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</si>
  <si>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</si>
  <si>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</si>
  <si>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</si>
  <si>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</si>
  <si>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</si>
  <si>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</si>
  <si>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</si>
  <si>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</si>
  <si>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</si>
  <si>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</si>
  <si>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</si>
  <si>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</si>
  <si>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</si>
  <si>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</si>
  <si>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</si>
  <si>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</si>
  <si>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</si>
  <si>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</si>
  <si>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</si>
  <si>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</si>
  <si>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</si>
  <si>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</si>
  <si>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</si>
  <si>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</si>
  <si>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</si>
  <si>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</si>
  <si>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</si>
  <si>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</si>
  <si>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</si>
  <si>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</si>
  <si>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</si>
  <si>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</si>
  <si>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</si>
  <si>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</si>
  <si>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</si>
  <si>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</si>
  <si>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</si>
  <si>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</si>
  <si>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</si>
  <si>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</si>
  <si>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</si>
  <si>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</si>
  <si>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</si>
  <si>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</si>
  <si>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</si>
  <si>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</si>
  <si>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</si>
  <si>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</si>
  <si>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</si>
  <si>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</si>
  <si>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</si>
  <si>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</si>
  <si>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</si>
  <si>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</si>
  <si>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</si>
  <si>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</si>
  <si>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</si>
  <si>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</si>
  <si>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</si>
  <si>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</si>
  <si>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</si>
  <si>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</si>
  <si>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</si>
  <si>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</si>
  <si>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</si>
  <si>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</si>
  <si>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</si>
  <si>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</si>
  <si>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</si>
  <si>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</si>
  <si>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</si>
  <si>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</si>
  <si>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</si>
  <si>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</si>
  <si>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</si>
  <si>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</si>
  <si>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</si>
  <si>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</si>
  <si>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</si>
  <si>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</si>
  <si>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</si>
  <si>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</si>
  <si>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</si>
  <si>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</si>
  <si>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</si>
  <si>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</si>
  <si>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</si>
  <si>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</si>
  <si>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</si>
  <si>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</si>
  <si>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</si>
  <si>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</si>
  <si>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</si>
  <si>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</si>
  <si>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</si>
  <si>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</si>
  <si>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</si>
  <si>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</si>
  <si>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</si>
  <si>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</si>
  <si>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</si>
  <si>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</si>
  <si>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</si>
  <si>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</si>
  <si>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</si>
  <si>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</si>
  <si>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</si>
  <si>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</si>
  <si>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</si>
  <si>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</si>
  <si>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</si>
  <si>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</si>
  <si>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</si>
  <si>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</si>
  <si>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</si>
  <si>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</si>
  <si>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</si>
  <si>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</si>
  <si>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</si>
  <si>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</si>
  <si>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</si>
  <si>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</si>
  <si>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</si>
  <si>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</si>
  <si>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</si>
  <si>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</si>
  <si>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</si>
  <si>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</si>
  <si>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</si>
  <si>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</si>
  <si>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</si>
  <si>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</si>
  <si>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</si>
  <si>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</si>
  <si>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</si>
  <si>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</si>
  <si>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</si>
  <si>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</si>
  <si>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</si>
  <si>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</si>
  <si>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</si>
  <si>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</si>
  <si>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</si>
  <si>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</si>
  <si>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</si>
  <si>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</si>
  <si>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</si>
  <si>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</si>
  <si>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</si>
  <si>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</si>
  <si>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</si>
  <si>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</si>
  <si>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</si>
  <si>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</si>
  <si>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</si>
  <si>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</si>
  <si>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</si>
  <si>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</si>
  <si>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</si>
  <si>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</si>
  <si>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</si>
  <si>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</si>
  <si>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</si>
  <si>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</si>
  <si>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</si>
  <si>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</si>
  <si>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</si>
  <si>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</si>
  <si>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</si>
  <si>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</si>
  <si>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</si>
  <si>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</si>
  <si>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</si>
  <si>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</si>
  <si>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</si>
  <si>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</si>
  <si>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</si>
  <si>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</si>
  <si>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</si>
  <si>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</si>
  <si>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</si>
  <si>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</si>
  <si>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</si>
  <si>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</si>
  <si>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</si>
  <si>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</si>
  <si>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</si>
  <si>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</si>
  <si>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</si>
  <si>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</si>
  <si>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</si>
  <si>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</si>
  <si>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</si>
  <si>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</si>
  <si>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</si>
  <si>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</si>
  <si>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</si>
  <si>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</si>
  <si>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</si>
  <si>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</si>
  <si>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</si>
  <si>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</si>
  <si>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</si>
  <si>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</si>
  <si>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</si>
  <si>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</si>
  <si>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</si>
  <si>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</si>
  <si>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</si>
  <si>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</si>
  <si>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</si>
  <si>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</si>
  <si>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</si>
  <si>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</si>
  <si>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</si>
  <si>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</si>
  <si>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</si>
  <si>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</si>
  <si>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</si>
  <si>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</si>
  <si>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</si>
  <si>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</si>
  <si>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</si>
  <si>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</si>
  <si>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</si>
  <si>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</si>
  <si>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</si>
  <si>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</si>
  <si>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</si>
  <si>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</si>
  <si>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</si>
  <si>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</si>
  <si>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</si>
  <si>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</si>
  <si>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</si>
  <si>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</si>
  <si>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</si>
  <si>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</si>
  <si>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</si>
  <si>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</si>
  <si>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</si>
  <si>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</si>
  <si>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</si>
  <si>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</si>
  <si>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</si>
  <si>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</si>
  <si>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</si>
  <si>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</si>
  <si>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</si>
  <si>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</si>
  <si>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</si>
  <si>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</si>
  <si>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</si>
  <si>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</si>
  <si>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</si>
  <si>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</si>
  <si>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</si>
  <si>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</si>
  <si>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</si>
  <si>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</si>
  <si>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</si>
  <si>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</si>
  <si>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</si>
  <si>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</si>
  <si>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</si>
  <si>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</si>
  <si>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</si>
  <si>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</si>
  <si>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</si>
  <si>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</si>
  <si>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</si>
  <si>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</si>
  <si>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</si>
  <si>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</si>
  <si>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</si>
  <si>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</si>
  <si>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</si>
  <si>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</si>
  <si>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</si>
  <si>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</si>
  <si>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</si>
  <si>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</si>
  <si>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</si>
  <si>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</si>
  <si>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</si>
  <si>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</si>
  <si>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</si>
  <si>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</si>
  <si>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</si>
  <si>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</si>
  <si>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</si>
  <si>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</si>
  <si>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</si>
  <si>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</si>
  <si>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</si>
  <si>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</si>
  <si>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</si>
  <si>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</si>
  <si>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</si>
  <si>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</si>
  <si>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</si>
  <si>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</si>
  <si>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</si>
  <si>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</si>
  <si>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</si>
  <si>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</si>
  <si>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</si>
  <si>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</si>
  <si>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</si>
  <si>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</si>
  <si>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</si>
  <si>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</si>
  <si>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</si>
  <si>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</si>
  <si>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</si>
  <si>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</si>
  <si>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</si>
  <si>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</si>
  <si>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</si>
  <si>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</si>
  <si>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</si>
  <si>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</si>
  <si>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</si>
  <si>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</si>
  <si>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</si>
  <si>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</si>
  <si>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</si>
  <si>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</si>
  <si>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</si>
  <si>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</si>
  <si>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</si>
  <si>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</si>
  <si>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</si>
  <si>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</si>
  <si>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</si>
  <si>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</si>
  <si>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</si>
  <si>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</si>
  <si>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</si>
  <si>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</si>
  <si>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</si>
  <si>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</si>
  <si>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</si>
  <si>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</si>
  <si>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</si>
  <si>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</si>
  <si>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</si>
  <si>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</si>
  <si>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</si>
  <si>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</si>
  <si>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</si>
  <si>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</si>
  <si>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</si>
  <si>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</si>
  <si>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</si>
  <si>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</si>
  <si>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</si>
  <si>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</si>
  <si>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</si>
  <si>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</si>
  <si>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</si>
  <si>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</si>
  <si>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</si>
  <si>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</si>
  <si>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</si>
  <si>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</si>
  <si>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</si>
  <si>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</si>
  <si>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</si>
  <si>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</si>
  <si>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</si>
  <si>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</si>
  <si>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</si>
  <si>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</si>
  <si>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</si>
  <si>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</si>
  <si>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</si>
  <si>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</si>
  <si>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</si>
  <si>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</si>
  <si>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</si>
  <si>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</si>
  <si>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</si>
  <si>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</si>
  <si>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</si>
  <si>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</si>
  <si>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</si>
  <si>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</si>
  <si>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</si>
  <si>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</si>
  <si>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</si>
  <si>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</si>
  <si>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</si>
  <si>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</si>
  <si>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</si>
  <si>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</si>
  <si>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</si>
  <si>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</si>
  <si>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</si>
  <si>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</si>
  <si>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</si>
  <si>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</si>
  <si>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</si>
  <si>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</si>
  <si>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</si>
  <si>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</si>
  <si>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</si>
  <si>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</si>
  <si>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</si>
  <si>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</si>
  <si>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</si>
  <si>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</si>
  <si>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</si>
  <si>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</si>
  <si>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</si>
  <si>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</si>
  <si>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</si>
  <si>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</si>
  <si>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</si>
  <si>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</si>
  <si>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</si>
  <si>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</si>
  <si>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</si>
  <si>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</si>
  <si>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</si>
  <si>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</si>
  <si>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</si>
  <si>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</si>
  <si>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</si>
  <si>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</si>
  <si>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</si>
  <si>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</si>
  <si>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</si>
  <si>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</si>
  <si>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</si>
  <si>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</si>
  <si>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</si>
  <si>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</si>
  <si>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</si>
  <si>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</si>
  <si>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</si>
  <si>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</si>
  <si>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</si>
  <si>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</si>
  <si>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</si>
  <si>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</si>
  <si>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</si>
  <si>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</si>
  <si>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</si>
  <si>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</si>
  <si>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</si>
  <si>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</si>
  <si>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</si>
  <si>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</si>
  <si>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</si>
  <si>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</si>
  <si>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</si>
  <si>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</si>
  <si>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</si>
  <si>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</si>
  <si>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</si>
  <si>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</si>
  <si>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</si>
  <si>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</si>
  <si>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</si>
  <si>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</si>
  <si>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</si>
  <si>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</si>
  <si>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</si>
  <si>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</si>
  <si>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</si>
  <si>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</si>
  <si>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</si>
  <si>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</si>
  <si>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</si>
  <si>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</si>
  <si>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</si>
  <si>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</si>
  <si>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</si>
  <si>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</si>
  <si>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</si>
  <si>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</si>
  <si>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</si>
  <si>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</si>
  <si>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</si>
  <si>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</si>
  <si>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</si>
  <si>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</si>
  <si>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</si>
  <si>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</si>
  <si>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</si>
  <si>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</si>
  <si>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</si>
  <si>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</si>
  <si>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</si>
  <si>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</si>
  <si>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</si>
  <si>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</si>
  <si>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</si>
  <si>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</si>
  <si>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</si>
  <si>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</si>
  <si>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</si>
  <si>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</si>
  <si>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</si>
  <si>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</si>
  <si>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</si>
  <si>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</si>
  <si>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</si>
  <si>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</si>
  <si>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</si>
  <si>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</si>
  <si>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</si>
  <si>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</si>
  <si>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</si>
  <si>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</si>
  <si>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</si>
  <si>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</si>
  <si>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</si>
  <si>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</si>
  <si>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</si>
  <si>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</si>
  <si>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</si>
  <si>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</si>
  <si>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</si>
  <si>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</si>
  <si>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</si>
  <si>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</si>
  <si>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</si>
  <si>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</si>
  <si>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</si>
  <si>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</si>
  <si>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</si>
  <si>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</si>
  <si>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</si>
  <si>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</si>
  <si>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</si>
  <si>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</si>
  <si>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</si>
  <si>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</si>
  <si>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</si>
  <si>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</si>
  <si>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</si>
  <si>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</si>
  <si>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</si>
  <si>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</si>
  <si>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</si>
  <si>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</si>
  <si>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</si>
  <si>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</si>
  <si>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</si>
  <si>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</si>
  <si>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</si>
  <si>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</si>
  <si>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</si>
  <si>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</si>
  <si>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</si>
  <si>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</si>
  <si>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</si>
  <si>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</si>
  <si>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</si>
  <si>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</si>
  <si>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</si>
  <si>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</si>
  <si>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</si>
  <si>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</si>
  <si>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</si>
  <si>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</si>
  <si>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</si>
  <si>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</si>
  <si>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</si>
  <si>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</si>
  <si>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</si>
  <si>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</si>
  <si>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</si>
  <si>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</si>
  <si>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</si>
  <si>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</si>
  <si>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</si>
  <si>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</si>
  <si>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</si>
  <si>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</si>
  <si>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</si>
  <si>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</si>
  <si>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</si>
  <si>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</si>
  <si>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</si>
  <si>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</si>
  <si>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</si>
  <si>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</si>
  <si>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</si>
  <si>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</si>
  <si>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</si>
  <si>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</si>
  <si>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</si>
  <si>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</si>
  <si>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</si>
  <si>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</si>
  <si>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</si>
  <si>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</si>
  <si>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</si>
  <si>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</si>
  <si>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</si>
  <si>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</si>
  <si>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</si>
  <si>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</si>
  <si>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</si>
  <si>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</si>
  <si>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</si>
  <si>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</si>
  <si>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</si>
  <si>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</si>
  <si>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</si>
  <si>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</si>
  <si>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</si>
  <si>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</si>
  <si>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</si>
  <si>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</si>
  <si>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</si>
  <si>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</si>
  <si>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</si>
  <si>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</si>
  <si>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</si>
  <si>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</si>
  <si>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</si>
  <si>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</si>
  <si>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</si>
  <si>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</si>
  <si>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</si>
  <si>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</si>
  <si>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</si>
  <si>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</si>
  <si>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</si>
  <si>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</si>
  <si>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</si>
  <si>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</si>
  <si>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</si>
  <si>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</si>
  <si>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</si>
  <si>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</si>
  <si>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</si>
  <si>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</si>
  <si>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</si>
  <si>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</si>
  <si>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</si>
  <si>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</si>
  <si>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</si>
  <si>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</si>
  <si>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</si>
  <si>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</si>
  <si>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</si>
  <si>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</si>
  <si>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</si>
  <si>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</si>
  <si>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</si>
  <si>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</si>
  <si>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</si>
  <si>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</si>
  <si>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</si>
  <si>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</si>
  <si>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</si>
  <si>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</si>
  <si>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</si>
  <si>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</si>
  <si>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</si>
  <si>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</si>
  <si>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</si>
  <si>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</si>
  <si>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</si>
  <si>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</si>
  <si>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</si>
  <si>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</si>
  <si>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</si>
  <si>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</si>
  <si>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</si>
  <si>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</si>
  <si>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</si>
  <si>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</si>
  <si>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</si>
  <si>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</si>
  <si>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</si>
  <si>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</si>
  <si>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</si>
  <si>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</si>
  <si>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</si>
  <si>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</si>
  <si>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</si>
  <si>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</si>
  <si>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</si>
  <si>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</si>
  <si>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</si>
  <si>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</si>
  <si>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</si>
  <si>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</si>
  <si>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</si>
  <si>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</si>
  <si>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</si>
  <si>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</si>
  <si>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</si>
  <si>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</si>
  <si>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</si>
  <si>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</si>
  <si>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</si>
  <si>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</si>
  <si>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</si>
  <si>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</si>
  <si>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</si>
  <si>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</si>
  <si>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</si>
  <si>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</si>
  <si>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</si>
  <si>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</si>
  <si>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</si>
  <si>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</si>
  <si>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</si>
  <si>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</si>
  <si>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</si>
  <si>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</si>
  <si>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</si>
  <si>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</si>
  <si>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</si>
  <si>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</si>
  <si>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</si>
  <si>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</si>
  <si>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</si>
  <si>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</si>
  <si>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</si>
  <si>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</si>
  <si>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</si>
  <si>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</si>
  <si>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</si>
  <si>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</si>
  <si>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</si>
  <si>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</si>
  <si>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</si>
  <si>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</si>
  <si>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</si>
  <si>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</si>
  <si>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</si>
  <si>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</si>
  <si>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</si>
  <si>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</si>
  <si>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</si>
  <si>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</si>
  <si>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</si>
  <si>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</si>
  <si>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</si>
  <si>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</si>
  <si>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</si>
  <si>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</si>
  <si>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</si>
  <si>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</si>
  <si>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</si>
  <si>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</si>
  <si>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</si>
  <si>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</si>
  <si>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</si>
  <si>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</si>
  <si>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</si>
  <si>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</si>
  <si>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</si>
  <si>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</si>
  <si>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</si>
  <si>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</si>
  <si>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</si>
  <si>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</si>
  <si>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</si>
  <si>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</si>
  <si>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</si>
  <si>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</si>
  <si>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</si>
  <si>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</si>
  <si>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</si>
  <si>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</si>
  <si>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</si>
  <si>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</si>
  <si>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</si>
  <si>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</si>
  <si>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</si>
  <si>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</si>
  <si>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</si>
  <si>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</si>
  <si>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</si>
  <si>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</si>
  <si>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</si>
  <si>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</si>
  <si>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</si>
  <si>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</si>
  <si>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</si>
  <si>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</si>
  <si>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</si>
  <si>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</si>
  <si>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</si>
  <si>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</si>
  <si>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</si>
  <si>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</si>
  <si>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</si>
  <si>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</si>
  <si>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</si>
  <si>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</si>
  <si>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</si>
  <si>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</si>
  <si>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</si>
  <si>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</si>
  <si>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</si>
  <si>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</si>
  <si>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</si>
  <si>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</si>
  <si>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</si>
  <si>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</si>
  <si>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</si>
  <si>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</si>
  <si>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</si>
  <si>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</si>
  <si>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</si>
  <si>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</si>
  <si>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</si>
  <si>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</si>
  <si>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</si>
  <si>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</si>
  <si>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</si>
  <si>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</si>
  <si>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</si>
  <si>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</si>
  <si>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</si>
  <si>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</si>
  <si>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</si>
  <si>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</si>
  <si>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</si>
  <si>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</si>
  <si>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</si>
  <si>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</si>
  <si>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</si>
  <si>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</si>
  <si>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</si>
  <si>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</si>
  <si>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</si>
  <si>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</si>
  <si>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</si>
  <si>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</si>
  <si>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</si>
  <si>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</si>
  <si>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</si>
  <si>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</si>
  <si>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</si>
  <si>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</si>
  <si>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</si>
  <si>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</si>
  <si>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</si>
  <si>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</si>
  <si>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</si>
  <si>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</si>
  <si>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</si>
  <si>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</si>
  <si>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</si>
  <si>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</si>
  <si>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</si>
  <si>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</si>
  <si>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</si>
  <si>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</si>
  <si>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</si>
  <si>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</si>
  <si>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</si>
  <si>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</si>
  <si>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</si>
  <si>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</si>
  <si>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</si>
  <si>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</si>
  <si>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</si>
  <si>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</si>
  <si>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</si>
  <si>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</si>
  <si>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</si>
  <si>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</si>
  <si>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</si>
  <si>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</si>
  <si>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</si>
  <si>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</si>
  <si>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</si>
  <si>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</si>
  <si>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</si>
  <si>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</si>
  <si>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</si>
  <si>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</si>
  <si>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</si>
  <si>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</si>
  <si>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</si>
  <si>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</si>
  <si>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</si>
  <si>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</si>
  <si>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</si>
  <si>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</si>
  <si>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</si>
  <si>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</si>
  <si>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</si>
  <si>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</si>
  <si>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</si>
  <si>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</si>
  <si>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</si>
  <si>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</si>
  <si>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</si>
  <si>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</si>
  <si>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</si>
  <si>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</si>
  <si>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</si>
  <si>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</si>
  <si>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</si>
  <si>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</si>
  <si>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</si>
  <si>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</si>
  <si>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</si>
  <si>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</si>
  <si>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</si>
  <si>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</si>
  <si>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</si>
  <si>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</si>
  <si>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</si>
  <si>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</si>
  <si>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</si>
  <si>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</si>
  <si>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</si>
  <si>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</si>
  <si>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</si>
  <si>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</si>
  <si>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</si>
  <si>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</si>
  <si>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</si>
  <si>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</si>
  <si>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</si>
  <si>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</si>
  <si>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</si>
  <si>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</si>
  <si>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</si>
  <si>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</si>
  <si>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</si>
  <si>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</si>
  <si>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</si>
  <si>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</si>
  <si>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</si>
  <si>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</si>
  <si>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</si>
  <si>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</si>
  <si>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</si>
  <si>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</si>
  <si>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</si>
  <si>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</si>
  <si>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</si>
  <si>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</si>
  <si>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</si>
  <si>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</si>
  <si>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</si>
  <si>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</si>
  <si>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</si>
  <si>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</si>
  <si>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</si>
  <si>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</si>
  <si>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</si>
  <si>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</si>
  <si>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</si>
  <si>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</si>
  <si>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</si>
  <si>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</si>
  <si>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</si>
  <si>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</si>
  <si>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</si>
  <si>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</si>
  <si>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</si>
  <si>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</si>
  <si>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</si>
  <si>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</si>
  <si>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</si>
  <si>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</si>
  <si>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</si>
  <si>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</si>
  <si>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</si>
  <si>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</si>
  <si>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</si>
  <si>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</si>
  <si>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</si>
  <si>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</si>
  <si>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</si>
  <si>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</si>
  <si>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</si>
  <si>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</si>
  <si>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</si>
  <si>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</si>
  <si>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</si>
  <si>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</si>
  <si>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</si>
  <si>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</si>
  <si>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</si>
  <si>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</si>
  <si>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</si>
  <si>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</si>
  <si>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</si>
  <si>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</si>
  <si>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</si>
  <si>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</si>
  <si>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</si>
  <si>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</si>
  <si>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</si>
  <si>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</si>
  <si>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</si>
  <si>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</si>
  <si>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</si>
  <si>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</si>
  <si>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</si>
  <si>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</si>
  <si>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</si>
  <si>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</si>
  <si>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</si>
  <si>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</si>
  <si>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</si>
  <si>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</si>
  <si>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</si>
  <si>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</si>
  <si>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</si>
  <si>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</si>
  <si>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</si>
  <si>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</si>
  <si>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</si>
  <si>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</si>
  <si>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</si>
  <si>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</si>
  <si>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</si>
  <si>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</si>
  <si>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</si>
  <si>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</si>
  <si>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</si>
  <si>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</si>
  <si>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</si>
  <si>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</si>
  <si>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</si>
  <si>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</si>
  <si>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</si>
  <si>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</si>
  <si>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</si>
  <si>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</si>
  <si>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</si>
  <si>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</si>
  <si>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</si>
  <si>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</si>
  <si>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</si>
  <si>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</si>
  <si>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</si>
  <si>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</si>
  <si>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</si>
  <si>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</si>
  <si>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</si>
  <si>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</si>
  <si>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</si>
  <si>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</si>
  <si>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</si>
  <si>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</si>
  <si>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</si>
  <si>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</si>
  <si>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</si>
  <si>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</si>
  <si>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</si>
  <si>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</si>
  <si>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</si>
  <si>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</si>
  <si>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</si>
  <si>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</si>
  <si>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</si>
  <si>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</si>
  <si>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</si>
  <si>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</si>
  <si>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</si>
  <si>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</si>
  <si>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</si>
  <si>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</si>
  <si>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</si>
  <si>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</si>
  <si>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</si>
  <si>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</si>
  <si>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</si>
  <si>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</si>
  <si>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</si>
  <si>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</si>
  <si>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</si>
  <si>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</si>
  <si>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</si>
  <si>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</si>
  <si>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</si>
  <si>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</si>
  <si>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</si>
  <si>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</si>
  <si>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</si>
  <si>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</si>
  <si>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</si>
  <si>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</si>
  <si>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</si>
  <si>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</si>
  <si>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</si>
  <si>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</si>
  <si>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</si>
  <si>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</si>
  <si>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</si>
  <si>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</si>
  <si>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</si>
  <si>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</si>
  <si>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</si>
  <si>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</si>
  <si>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</si>
  <si>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</si>
  <si>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</si>
  <si>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</si>
  <si>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</si>
  <si>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</si>
  <si>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</si>
  <si>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</si>
  <si>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</si>
  <si>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</si>
  <si>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</si>
  <si>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</si>
  <si>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</si>
  <si>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</si>
  <si>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</si>
  <si>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</si>
  <si>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</si>
  <si>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</si>
  <si>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</si>
  <si>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</si>
  <si>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</si>
  <si>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</si>
  <si>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</si>
  <si>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</si>
  <si>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</si>
  <si>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</si>
  <si>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</si>
  <si>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</si>
  <si>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</si>
  <si>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</si>
  <si>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</si>
  <si>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</si>
  <si>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</si>
  <si>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</si>
  <si>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</si>
  <si>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</si>
  <si>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</si>
  <si>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</si>
  <si>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</si>
  <si>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</si>
  <si>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</si>
  <si>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</si>
  <si>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</si>
  <si>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</si>
  <si>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</si>
  <si>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</si>
  <si>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</si>
  <si>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</si>
  <si>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</si>
  <si>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</si>
  <si>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</si>
  <si>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</si>
  <si>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</si>
  <si>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</si>
  <si>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</si>
  <si>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</si>
  <si>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</si>
  <si>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</si>
  <si>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</si>
  <si>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</si>
  <si>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</si>
  <si>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</si>
  <si>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</si>
  <si>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</si>
  <si>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</si>
  <si>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</si>
  <si>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</si>
  <si>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</si>
  <si>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</si>
  <si>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</si>
  <si>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</si>
  <si>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</si>
  <si>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</si>
  <si>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</si>
  <si>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</si>
  <si>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</si>
  <si>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</si>
  <si>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</si>
  <si>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</si>
  <si>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</si>
  <si>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</si>
  <si>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</si>
  <si>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</si>
  <si>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</si>
  <si>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</si>
  <si>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</si>
  <si>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</si>
  <si>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</si>
  <si>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</si>
  <si>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</si>
  <si>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</si>
  <si>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</si>
  <si>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</si>
  <si>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</si>
  <si>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</si>
  <si>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</si>
  <si>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</si>
  <si>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</si>
  <si>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</si>
  <si>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</si>
  <si>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</si>
  <si>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</si>
  <si>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</si>
  <si>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</si>
  <si>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</si>
  <si>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</si>
  <si>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</si>
  <si>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</si>
  <si>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</si>
  <si>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</si>
  <si>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</si>
  <si>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</si>
  <si>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</si>
  <si>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</si>
  <si>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</si>
  <si>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</si>
  <si>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</si>
  <si>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</si>
  <si>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</si>
  <si>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</si>
  <si>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</si>
  <si>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</si>
  <si>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</si>
  <si>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</si>
  <si>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</si>
  <si>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</si>
  <si>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</si>
  <si>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</si>
  <si>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</si>
  <si>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</si>
  <si>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</si>
  <si>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</si>
  <si>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</si>
  <si>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</si>
  <si>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</si>
  <si>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</si>
  <si>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</si>
  <si>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</si>
  <si>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</si>
  <si>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</si>
  <si>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</si>
  <si>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</si>
  <si>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</si>
  <si>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</si>
  <si>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</si>
  <si>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</si>
  <si>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</si>
  <si>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</si>
  <si>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</si>
  <si>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</si>
  <si>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</si>
  <si>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</si>
  <si>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</si>
  <si>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</si>
  <si>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</si>
  <si>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</si>
  <si>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</si>
  <si>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</si>
  <si>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</si>
  <si>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</si>
  <si>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</si>
  <si>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</si>
  <si>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</si>
  <si>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</si>
  <si>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</si>
  <si>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</si>
  <si>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</si>
  <si>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</si>
  <si>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</si>
  <si>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</si>
  <si>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</si>
  <si>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</si>
  <si>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</si>
  <si>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</si>
  <si>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</si>
  <si>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</si>
  <si>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</si>
  <si>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</si>
  <si>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</si>
  <si>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</si>
  <si>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</si>
  <si>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</si>
  <si>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</si>
  <si>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</si>
  <si>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</si>
  <si>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</si>
  <si>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</si>
  <si>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</si>
  <si>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</si>
  <si>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</si>
  <si>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</si>
  <si>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</si>
  <si>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</si>
  <si>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</si>
  <si>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</si>
  <si>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</si>
  <si>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</si>
  <si>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</si>
  <si>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</si>
  <si>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</si>
  <si>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</si>
  <si>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</si>
  <si>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</si>
  <si>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</si>
  <si>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</si>
  <si>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</si>
  <si>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</si>
  <si>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</si>
  <si>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</si>
  <si>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</si>
  <si>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</si>
  <si>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</si>
  <si>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</si>
  <si>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</si>
  <si>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</si>
  <si>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</si>
  <si>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</si>
  <si>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</si>
  <si>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</si>
  <si>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</si>
  <si>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</si>
  <si>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</si>
  <si>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</si>
  <si>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</si>
  <si>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</si>
  <si>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</si>
  <si>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</si>
  <si>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</si>
  <si>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</si>
  <si>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</si>
  <si>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</si>
  <si>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</si>
  <si>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</si>
  <si>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</si>
  <si>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</si>
  <si>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</si>
  <si>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</si>
  <si>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</si>
  <si>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</si>
  <si>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</si>
  <si>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</si>
  <si>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</si>
  <si>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</si>
  <si>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</si>
  <si>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</si>
  <si>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</si>
  <si>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</si>
  <si>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</si>
  <si>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</si>
  <si>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</si>
  <si>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</si>
  <si>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</si>
  <si>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</si>
  <si>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</si>
  <si>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</si>
  <si>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</si>
  <si>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</si>
  <si>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</si>
  <si>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</si>
  <si>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</si>
  <si>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</si>
  <si>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</si>
  <si>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</si>
  <si>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</si>
  <si>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</si>
  <si>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</si>
  <si>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</si>
  <si>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</si>
  <si>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</si>
  <si>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</si>
  <si>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</si>
  <si>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</si>
  <si>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</si>
  <si>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</si>
  <si>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</si>
  <si>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</si>
  <si>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</si>
  <si>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</si>
  <si>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</si>
  <si>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</si>
  <si>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</si>
  <si>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</si>
  <si>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</si>
  <si>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</si>
  <si>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</si>
  <si>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</si>
  <si>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</si>
  <si>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</si>
  <si>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</si>
  <si>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</si>
  <si>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</si>
  <si>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</si>
  <si>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</si>
  <si>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</si>
  <si>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</si>
  <si>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</si>
  <si>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</si>
  <si>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</si>
  <si>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</si>
  <si>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</si>
  <si>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</si>
  <si>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</si>
  <si>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</si>
  <si>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</si>
  <si>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</si>
  <si>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</si>
  <si>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</si>
  <si>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</si>
  <si>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</si>
  <si>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</si>
  <si>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</si>
  <si>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</si>
  <si>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</si>
  <si>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</si>
  <si>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</si>
  <si>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</si>
  <si>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</si>
  <si>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</si>
  <si>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</si>
  <si>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</si>
  <si>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</si>
  <si>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</si>
  <si>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</si>
  <si>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</si>
  <si>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</si>
  <si>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</si>
  <si>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</si>
  <si>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</si>
  <si>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</si>
  <si>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</si>
  <si>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</si>
  <si>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</si>
  <si>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</si>
  <si>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</si>
  <si>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</si>
  <si>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</si>
  <si>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</si>
  <si>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</si>
  <si>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</si>
  <si>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</si>
  <si>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</si>
  <si>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</si>
  <si>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</si>
  <si>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</si>
  <si>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</si>
  <si>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</si>
  <si>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</si>
  <si>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</si>
  <si>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</si>
  <si>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</si>
  <si>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</si>
  <si>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</si>
  <si>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</si>
  <si>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</si>
  <si>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</si>
  <si>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</si>
  <si>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</si>
  <si>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</si>
  <si>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</si>
  <si>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</si>
  <si>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</si>
  <si>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</si>
  <si>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</si>
  <si>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</si>
  <si>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</si>
  <si>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</si>
  <si>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</si>
  <si>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</si>
  <si>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</si>
  <si>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</si>
  <si>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</si>
  <si>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</si>
  <si>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</si>
  <si>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</si>
  <si>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</si>
  <si>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</si>
  <si>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</si>
  <si>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</si>
  <si>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</si>
  <si>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</si>
  <si>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</si>
  <si>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</si>
  <si>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</si>
  <si>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</si>
  <si>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</si>
  <si>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</si>
  <si>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</si>
  <si>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</si>
  <si>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</si>
  <si>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</si>
  <si>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</si>
  <si>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</si>
  <si>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</si>
  <si>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</si>
  <si>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</si>
  <si>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</si>
  <si>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</si>
  <si>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</si>
  <si>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</si>
  <si>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</si>
  <si>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</si>
  <si>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</si>
  <si>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</si>
  <si>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</si>
  <si>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</si>
  <si>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</si>
  <si>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</si>
  <si>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</si>
  <si>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</si>
  <si>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</si>
  <si>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</si>
  <si>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</si>
  <si>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</si>
  <si>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</si>
  <si>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</si>
  <si>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</si>
  <si>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</si>
  <si>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</si>
  <si>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</si>
  <si>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</si>
  <si>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</si>
  <si>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</si>
  <si>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</si>
  <si>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</si>
  <si>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</si>
  <si>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</si>
  <si>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</si>
  <si>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</si>
  <si>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</si>
  <si>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</si>
  <si>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</si>
  <si>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</si>
  <si>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</si>
  <si>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</si>
  <si>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</si>
  <si>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</si>
  <si>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</si>
  <si>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</si>
  <si>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</si>
  <si>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</si>
  <si>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</si>
  <si>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</si>
  <si>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</si>
  <si>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</si>
  <si>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</si>
  <si>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</si>
  <si>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</si>
  <si>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</si>
  <si>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</si>
  <si>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</si>
  <si>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</si>
  <si>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</si>
  <si>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</si>
  <si>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</si>
  <si>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</si>
  <si>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</si>
  <si>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</si>
  <si>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</si>
  <si>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</si>
  <si>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</si>
  <si>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</si>
  <si>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</si>
  <si>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</si>
  <si>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</si>
  <si>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</si>
  <si>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</si>
  <si>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</si>
  <si>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</si>
  <si>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</si>
  <si>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</si>
  <si>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</si>
  <si>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</si>
  <si>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</si>
  <si>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</si>
  <si>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</si>
  <si>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</si>
  <si>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</si>
  <si>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</si>
  <si>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</si>
  <si>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</si>
  <si>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</si>
  <si>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</si>
  <si>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</si>
  <si>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</si>
  <si>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</si>
  <si>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</si>
  <si>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</si>
  <si>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</si>
  <si>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</si>
  <si>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</si>
  <si>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</si>
  <si>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</si>
  <si>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</si>
  <si>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</si>
  <si>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</si>
  <si>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</si>
  <si>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</si>
  <si>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</si>
  <si>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</si>
  <si>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</si>
  <si>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</si>
  <si>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</si>
  <si>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</si>
  <si>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</si>
  <si>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</si>
  <si>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</si>
  <si>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</si>
  <si>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</si>
  <si>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</si>
  <si>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</si>
  <si>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</si>
  <si>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</si>
  <si>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</si>
  <si>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</si>
  <si>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</si>
  <si>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</si>
  <si>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</si>
  <si>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</si>
  <si>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</si>
  <si>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</si>
  <si>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</si>
  <si>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</si>
  <si>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</si>
  <si>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</si>
  <si>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</si>
  <si>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</si>
  <si>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</si>
  <si>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</si>
  <si>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</si>
  <si>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</si>
  <si>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</si>
  <si>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</si>
  <si>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</si>
  <si>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</si>
  <si>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</si>
  <si>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</si>
  <si>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</si>
  <si>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</si>
  <si>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</si>
  <si>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</si>
  <si>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</si>
  <si>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</si>
  <si>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</si>
  <si>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</si>
  <si>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</si>
  <si>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</si>
  <si>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</si>
  <si>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</si>
  <si>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</si>
  <si>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</si>
  <si>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</si>
  <si>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</si>
  <si>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</si>
  <si>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</si>
  <si>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</si>
  <si>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</si>
  <si>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</si>
  <si>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</si>
  <si>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</si>
  <si>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</si>
  <si>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</si>
  <si>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</si>
  <si>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</si>
  <si>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</si>
  <si>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</si>
  <si>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</si>
  <si>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</si>
  <si>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</si>
  <si>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</si>
  <si>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</si>
  <si>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</si>
  <si>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</si>
  <si>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</si>
  <si>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</si>
  <si>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</si>
  <si>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</si>
  <si>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</si>
  <si>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</si>
  <si>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</si>
  <si>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</si>
  <si>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</si>
  <si>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</si>
  <si>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</si>
  <si>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</si>
  <si>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</si>
  <si>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</si>
  <si>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</si>
  <si>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</si>
  <si>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</si>
  <si>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</si>
  <si>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</si>
  <si>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</si>
  <si>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</si>
  <si>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</si>
  <si>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</si>
  <si>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</si>
  <si>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</si>
  <si>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</si>
  <si>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</si>
  <si>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</si>
  <si>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</si>
  <si>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</si>
  <si>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</si>
  <si>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</si>
  <si>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</si>
  <si>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</si>
  <si>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</si>
  <si>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</si>
  <si>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</si>
  <si>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</si>
  <si>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</si>
  <si>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</si>
  <si>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</si>
  <si>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</si>
  <si>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</si>
  <si>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</si>
  <si>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</si>
  <si>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</si>
  <si>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</si>
  <si>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</si>
  <si>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</si>
  <si>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</si>
  <si>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</si>
  <si>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</si>
  <si>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</si>
  <si>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</si>
  <si>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</si>
  <si>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</si>
  <si>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</si>
  <si>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</si>
  <si>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</si>
  <si>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</si>
  <si>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</si>
  <si>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</si>
  <si>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</si>
  <si>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</si>
  <si>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</si>
  <si>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</si>
  <si>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</si>
  <si>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</si>
  <si>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</si>
  <si>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</si>
  <si>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</si>
  <si>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</si>
  <si>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</si>
  <si>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</si>
  <si>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</si>
  <si>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</si>
  <si>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</si>
  <si>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</si>
  <si>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</si>
  <si>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</si>
  <si>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</si>
  <si>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</si>
  <si>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</si>
  <si>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</si>
  <si>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</si>
  <si>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</si>
  <si>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</si>
  <si>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</si>
  <si>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</si>
  <si>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</si>
  <si>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</si>
  <si>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</si>
  <si>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</si>
  <si>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</si>
  <si>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</si>
  <si>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</si>
  <si>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</si>
  <si>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</si>
  <si>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</si>
  <si>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</si>
  <si>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</si>
  <si>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</si>
  <si>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</si>
  <si>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</si>
  <si>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</si>
  <si>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</si>
  <si>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</si>
  <si>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</si>
  <si>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</si>
  <si>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</si>
  <si>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</si>
  <si>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</si>
  <si>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</si>
  <si>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</si>
  <si>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</si>
  <si>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</si>
  <si>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</si>
  <si>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</si>
  <si>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</si>
  <si>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</si>
  <si>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</si>
  <si>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</si>
  <si>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</si>
  <si>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</si>
  <si>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</si>
  <si>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</si>
  <si>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</si>
  <si>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</si>
  <si>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</si>
  <si>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</si>
  <si>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</si>
  <si>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</si>
  <si>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</si>
  <si>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</si>
  <si>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</si>
  <si>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</si>
  <si>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</si>
  <si>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</si>
  <si>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</si>
  <si>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</si>
  <si>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</si>
  <si>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</si>
  <si>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</si>
  <si>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</si>
  <si>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</si>
  <si>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</si>
  <si>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</si>
  <si>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</si>
  <si>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</si>
  <si>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</si>
  <si>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</si>
  <si>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</si>
  <si>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</si>
  <si>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</si>
  <si>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</si>
  <si>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</si>
  <si>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</si>
  <si>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</si>
  <si>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</si>
  <si>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</si>
  <si>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</si>
  <si>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</si>
  <si>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</si>
  <si>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</si>
  <si>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</si>
  <si>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</si>
  <si>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</si>
  <si>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</si>
  <si>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</si>
  <si>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</si>
  <si>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</si>
  <si>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</si>
  <si>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</si>
  <si>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</si>
  <si>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</si>
  <si>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</si>
  <si>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</si>
  <si>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</si>
  <si>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</si>
  <si>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</si>
  <si>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</si>
  <si>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</si>
  <si>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</si>
  <si>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</si>
  <si>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</si>
  <si>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</si>
  <si>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</si>
  <si>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</si>
  <si>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</si>
  <si>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</si>
  <si>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</si>
  <si>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</si>
  <si>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</si>
  <si>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</si>
  <si>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</si>
  <si>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</si>
  <si>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</si>
  <si>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</si>
  <si>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</si>
  <si>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</si>
  <si>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</si>
  <si>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</si>
  <si>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</si>
  <si>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</si>
  <si>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</si>
  <si>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</si>
  <si>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</si>
  <si>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</si>
  <si>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</si>
  <si>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</si>
  <si>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</si>
  <si>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</si>
  <si>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</si>
  <si>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</si>
  <si>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</si>
  <si>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</si>
  <si>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</si>
  <si>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</si>
  <si>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</si>
  <si>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</si>
  <si>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</si>
  <si>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</si>
  <si>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</si>
  <si>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</si>
  <si>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</si>
  <si>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</si>
  <si>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</si>
  <si>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</si>
  <si>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</si>
  <si>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</si>
  <si>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</si>
  <si>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</si>
  <si>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</si>
  <si>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</si>
  <si>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</si>
  <si>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</si>
  <si>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</si>
  <si>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</si>
  <si>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</si>
  <si>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</si>
  <si>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</si>
  <si>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</si>
  <si>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</si>
  <si>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</si>
  <si>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</si>
  <si>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</si>
  <si>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</si>
  <si>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</si>
  <si>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</si>
  <si>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</si>
  <si>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</si>
  <si>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</si>
  <si>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</si>
  <si>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</si>
  <si>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</si>
  <si>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</si>
  <si>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</si>
  <si>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</si>
  <si>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</si>
  <si>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</si>
  <si>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</si>
  <si>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</si>
  <si>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</si>
  <si>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</si>
  <si>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</si>
  <si>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</si>
  <si>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</si>
  <si>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</si>
  <si>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</si>
  <si>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</si>
  <si>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</si>
  <si>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</si>
  <si>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</si>
  <si>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</si>
  <si>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</si>
  <si>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</si>
  <si>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</si>
  <si>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</si>
  <si>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</si>
  <si>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</si>
  <si>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</si>
  <si>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</si>
  <si>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</si>
  <si>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</si>
  <si>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</si>
  <si>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</si>
  <si>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</si>
  <si>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</si>
  <si>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</si>
  <si>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</si>
  <si>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</si>
  <si>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</si>
  <si>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</si>
  <si>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</si>
  <si>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</si>
  <si>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</si>
  <si>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</si>
  <si>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</si>
  <si>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</si>
  <si>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</si>
  <si>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</si>
  <si>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</si>
  <si>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</si>
  <si>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</si>
  <si>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</si>
  <si>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</si>
  <si>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</si>
  <si>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</si>
  <si>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</si>
  <si>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</si>
  <si>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</si>
  <si>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</si>
  <si>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</si>
  <si>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</si>
  <si>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</si>
  <si>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</si>
  <si>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</si>
  <si>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</si>
  <si>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</si>
  <si>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</si>
  <si>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</si>
  <si>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</si>
  <si>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</si>
  <si>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</si>
  <si>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</si>
  <si>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</si>
  <si>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</si>
  <si>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</si>
  <si>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</si>
  <si>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</si>
  <si>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</si>
  <si>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</si>
  <si>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</si>
  <si>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</si>
  <si>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</si>
  <si>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</si>
  <si>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</si>
  <si>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</si>
  <si>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</si>
  <si>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</si>
  <si>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</si>
  <si>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</si>
  <si>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</si>
  <si>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</si>
  <si>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</si>
  <si>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</si>
  <si>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</si>
  <si>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</si>
  <si>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</si>
  <si>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</si>
  <si>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</si>
  <si>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</si>
  <si>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</si>
  <si>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</si>
  <si>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</si>
  <si>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</si>
  <si>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</si>
  <si>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</si>
  <si>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</si>
  <si>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</si>
  <si>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</si>
  <si>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</si>
  <si>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</si>
  <si>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</si>
  <si>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</si>
  <si>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</si>
  <si>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</si>
  <si>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</si>
  <si>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</si>
  <si>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</si>
  <si>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</si>
  <si>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</si>
  <si>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</si>
  <si>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</si>
  <si>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</si>
  <si>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</si>
  <si>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</si>
  <si>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</si>
  <si>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</si>
  <si>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</si>
  <si>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</si>
  <si>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</si>
  <si>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</si>
  <si>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</si>
  <si>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</si>
  <si>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</si>
  <si>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</si>
  <si>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</si>
  <si>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</si>
  <si>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</si>
  <si>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</si>
  <si>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</si>
  <si>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</si>
  <si>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</si>
  <si>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</si>
  <si>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</si>
  <si>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</si>
  <si>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</si>
  <si>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</si>
  <si>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</si>
  <si>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</si>
  <si>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</si>
  <si>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</si>
  <si>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</si>
  <si>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</si>
  <si>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</si>
  <si>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</si>
  <si>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</si>
  <si>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</si>
  <si>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</si>
  <si>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</si>
  <si>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</si>
  <si>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</si>
  <si>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</si>
  <si>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</si>
  <si>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</si>
  <si>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</si>
  <si>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</si>
  <si>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</si>
  <si>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</si>
  <si>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</si>
  <si>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</si>
  <si>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</si>
  <si>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</si>
  <si>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</si>
  <si>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</si>
  <si>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</si>
  <si>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</si>
  <si>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</si>
  <si>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</si>
  <si>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</si>
  <si>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</si>
  <si>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</si>
  <si>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</si>
  <si>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</si>
  <si>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</si>
  <si>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</si>
  <si>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</si>
  <si>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</si>
  <si>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</si>
  <si>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</si>
  <si>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</si>
  <si>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</si>
  <si>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</si>
  <si>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</si>
  <si>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</si>
  <si>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</si>
  <si>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</si>
  <si>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</si>
  <si>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</si>
  <si>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</si>
  <si>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</si>
  <si>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</si>
  <si>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</si>
  <si>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</si>
  <si>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</si>
  <si>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</si>
  <si>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</si>
  <si>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</si>
  <si>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</si>
  <si>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</si>
  <si>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</si>
  <si>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</si>
  <si>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</si>
  <si>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</si>
  <si>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</si>
  <si>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</si>
  <si>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</si>
  <si>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</si>
  <si>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</si>
  <si>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</si>
  <si>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</si>
  <si>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</si>
  <si>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</si>
  <si>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</si>
  <si>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</si>
  <si>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</si>
  <si>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</si>
  <si>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</si>
  <si>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</si>
  <si>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</si>
  <si>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</si>
  <si>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</si>
  <si>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</si>
  <si>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</si>
  <si>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</si>
  <si>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</si>
  <si>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</si>
  <si>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</si>
  <si>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</si>
  <si>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</si>
  <si>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</si>
  <si>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</si>
  <si>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</si>
  <si>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</si>
  <si>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</si>
  <si>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</si>
  <si>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</si>
  <si>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</si>
  <si>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</si>
  <si>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</si>
  <si>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</si>
  <si>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</si>
  <si>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</si>
  <si>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</si>
  <si>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</si>
  <si>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</si>
  <si>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</si>
  <si>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</si>
  <si>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</si>
  <si>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</si>
  <si>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</si>
  <si>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</si>
  <si>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</si>
  <si>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</si>
  <si>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</si>
  <si>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</si>
  <si>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</si>
  <si>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</si>
  <si>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</si>
  <si>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</si>
  <si>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</si>
  <si>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</si>
  <si>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</si>
  <si>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</si>
  <si>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</si>
  <si>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</si>
  <si>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</si>
  <si>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</si>
  <si>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</si>
  <si>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</si>
  <si>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</si>
  <si>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</si>
  <si>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</si>
  <si>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</si>
  <si>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</si>
  <si>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</si>
  <si>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</si>
  <si>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</si>
  <si>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</si>
  <si>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</si>
  <si>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</si>
  <si>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</si>
  <si>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</si>
  <si>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</si>
  <si>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</si>
  <si>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</si>
  <si>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</si>
  <si>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</si>
  <si>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</si>
  <si>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</si>
  <si>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</si>
  <si>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</si>
  <si>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</si>
  <si>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</si>
  <si>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</si>
  <si>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</si>
  <si>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</si>
  <si>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</si>
  <si>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</si>
  <si>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</si>
  <si>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</si>
  <si>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</si>
  <si>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</si>
  <si>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</si>
  <si>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</si>
  <si>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</si>
  <si>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</si>
  <si>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</si>
  <si>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</si>
  <si>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</si>
  <si>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</si>
  <si>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</si>
  <si>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</si>
  <si>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</si>
  <si>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</si>
  <si>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</si>
  <si>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</si>
  <si>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</si>
  <si>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</si>
  <si>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</si>
  <si>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</si>
  <si>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</si>
  <si>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</si>
  <si>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</si>
  <si>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</si>
  <si>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</si>
  <si>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</si>
  <si>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</si>
  <si>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</si>
  <si>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</si>
  <si>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</si>
  <si>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</si>
  <si>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</si>
  <si>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</si>
  <si>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</si>
  <si>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</si>
  <si>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</si>
  <si>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</si>
  <si>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</si>
  <si>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</si>
  <si>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</si>
  <si>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</si>
  <si>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</si>
  <si>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</si>
  <si>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</si>
  <si>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</si>
  <si>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</si>
  <si>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</si>
  <si>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</si>
  <si>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</si>
  <si>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</si>
  <si>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</si>
  <si>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</si>
  <si>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</si>
  <si>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</si>
  <si>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</si>
  <si>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</si>
  <si>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</si>
  <si>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</si>
  <si>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</si>
  <si>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</si>
  <si>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</si>
  <si>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</si>
  <si>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</si>
  <si>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</si>
  <si>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</si>
  <si>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</si>
  <si>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</si>
  <si>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</si>
  <si>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</si>
  <si>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</si>
  <si>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</si>
  <si>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</si>
  <si>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</si>
  <si>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</si>
  <si>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</si>
  <si>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</si>
  <si>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</si>
  <si>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</si>
  <si>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</si>
  <si>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</si>
  <si>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</si>
  <si>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</si>
  <si>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</si>
  <si>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</si>
  <si>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</si>
  <si>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</si>
  <si>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</si>
  <si>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</si>
  <si>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</si>
  <si>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</si>
  <si>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</si>
  <si>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</si>
  <si>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</si>
  <si>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from 1-2</t>
  </si>
  <si>
    <t>from 2-4</t>
  </si>
  <si>
    <t>from 2-3</t>
  </si>
  <si>
    <t>from 4-7</t>
  </si>
  <si>
    <t>from 7-8</t>
  </si>
  <si>
    <t>from 8-9</t>
  </si>
  <si>
    <t>from 3-10</t>
  </si>
  <si>
    <t>from 10-14</t>
  </si>
  <si>
    <t>from 10-11</t>
  </si>
  <si>
    <t>from 11-12</t>
  </si>
  <si>
    <t>from 12-13</t>
  </si>
  <si>
    <t>from 2-5</t>
  </si>
  <si>
    <t>from 5-6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</si>
</sst>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8" fontId="0" fillId="2" borderId="1" xfId="1" applyNumberFormat="1" applyFont="1" applyFill="1" applyBorder="1" applyAlignment="1">
      <alignment horizontal="center" vertical="center"/>
    </xf>
    <xf numFmtId="8" fontId="0" fillId="2" borderId="9" xfId="1" applyNumberFormat="1" applyFont="1" applyFill="1" applyBorder="1" applyAlignment="1">
      <alignment horizontal="center" vertical="center"/>
    </xf>
    <xf numFmtId="8" fontId="0" fillId="0" borderId="1" xfId="1" applyNumberFormat="1" applyFont="1" applyFill="1" applyBorder="1" applyAlignment="1">
      <alignment horizontal="center" vertical="center"/>
    </xf>
    <xf numFmtId="8" fontId="0" fillId="0" borderId="9" xfId="1" applyNumberFormat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16" fontId="0" fillId="0" borderId="1" xfId="0" applyNumberFormat="1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2618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2619</v>
      </c>
      <c r="AA2" s="2" t="s">
        <v>2622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2620</v>
      </c>
      <c r="AA3" s="2" t="s">
        <v>2623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2624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2625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2626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2627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2628</v>
      </c>
    </row>
    <row r="9" spans="1:27" x14ac:dyDescent="0.25">
      <c r="A9" s="3" t="s">
        <v>1262</v>
      </c>
      <c r="F9" s="1"/>
      <c r="H9" s="3" t="s">
        <v>2378</v>
      </c>
      <c r="AA9" s="2" t="s">
        <v>2629</v>
      </c>
    </row>
    <row r="10" spans="1:27" x14ac:dyDescent="0.25">
      <c r="A10" s="3" t="s">
        <v>1263</v>
      </c>
      <c r="F10" s="1"/>
      <c r="H10" s="3" t="s">
        <v>2379</v>
      </c>
      <c r="AA10" s="2" t="s">
        <v>2630</v>
      </c>
    </row>
    <row r="11" spans="1:27" x14ac:dyDescent="0.25">
      <c r="A11" s="3" t="s">
        <v>1264</v>
      </c>
      <c r="F11" s="1"/>
      <c r="H11" s="3" t="s">
        <v>2380</v>
      </c>
      <c r="AA11" s="2" t="s">
        <v>2631</v>
      </c>
    </row>
    <row r="12" spans="1:27" x14ac:dyDescent="0.25">
      <c r="A12" s="3" t="s">
        <v>1265</v>
      </c>
      <c r="F12" s="1"/>
      <c r="H12" s="3" t="s">
        <v>2381</v>
      </c>
      <c r="AA12" s="2" t="s">
        <v>2632</v>
      </c>
    </row>
    <row r="13" spans="1:27" x14ac:dyDescent="0.25">
      <c r="A13" s="3" t="s">
        <v>1267</v>
      </c>
      <c r="F13" s="1"/>
      <c r="H13" s="3" t="s">
        <v>2382</v>
      </c>
      <c r="AA13" s="2" t="s">
        <v>2633</v>
      </c>
    </row>
    <row r="14" spans="1:27" x14ac:dyDescent="0.25">
      <c r="A14" s="3" t="s">
        <v>1268</v>
      </c>
      <c r="F14" s="1"/>
      <c r="H14" s="3" t="s">
        <v>2383</v>
      </c>
      <c r="AA14" s="2" t="s">
        <v>2634</v>
      </c>
    </row>
    <row r="15" spans="1:27" x14ac:dyDescent="0.25">
      <c r="A15" s="3" t="s">
        <v>1269</v>
      </c>
      <c r="F15" s="1"/>
      <c r="H15" s="3" t="s">
        <v>2384</v>
      </c>
      <c r="AA15" s="2" t="s">
        <v>2635</v>
      </c>
    </row>
    <row r="16" spans="1:27" x14ac:dyDescent="0.25">
      <c r="A16" s="3" t="s">
        <v>1270</v>
      </c>
      <c r="F16" s="1"/>
      <c r="H16" s="3" t="s">
        <v>2385</v>
      </c>
      <c r="AA16" s="2" t="s">
        <v>2636</v>
      </c>
    </row>
    <row r="17" spans="1:27" x14ac:dyDescent="0.25">
      <c r="A17" s="3" t="s">
        <v>1271</v>
      </c>
      <c r="F17" s="1"/>
      <c r="H17" s="3" t="s">
        <v>2386</v>
      </c>
      <c r="AA17" s="2" t="s">
        <v>2637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2631</v>
      </c>
      <c r="B176" s="41" t="s">
        <v>2639</v>
      </c>
      <c r="C176" s="42" t="s">
        <v>2640</v>
      </c>
      <c r="D176" s="43">
        <v>12.56</v>
      </c>
    </row>
    <row r="177" spans="1:4" x14ac:dyDescent="0.25">
      <c r="A177" s="44" t="s">
        <v>2632</v>
      </c>
      <c r="B177" s="34" t="s">
        <v>2641</v>
      </c>
      <c r="C177" s="36" t="s">
        <v>2640</v>
      </c>
      <c r="D177" s="45">
        <v>12.57</v>
      </c>
    </row>
    <row r="178" spans="1:4" x14ac:dyDescent="0.25">
      <c r="A178" s="44" t="s">
        <v>2633</v>
      </c>
      <c r="B178" s="34" t="s">
        <v>2642</v>
      </c>
      <c r="C178" s="36" t="s">
        <v>2640</v>
      </c>
      <c r="D178" s="45">
        <v>11993</v>
      </c>
    </row>
    <row r="179" spans="1:4" x14ac:dyDescent="0.25">
      <c r="A179" s="44" t="s">
        <v>2624</v>
      </c>
      <c r="B179" s="34" t="s">
        <v>2643</v>
      </c>
      <c r="C179" s="36" t="s">
        <v>2647</v>
      </c>
      <c r="D179" s="45">
        <v>1</v>
      </c>
    </row>
    <row r="180" spans="1:4" x14ac:dyDescent="0.25">
      <c r="A180" s="44" t="s">
        <v>2623</v>
      </c>
      <c r="B180" s="34" t="s">
        <v>2644</v>
      </c>
      <c r="C180" s="36" t="s">
        <v>2647</v>
      </c>
      <c r="D180" s="45">
        <v>1</v>
      </c>
    </row>
    <row r="181" spans="1:4" ht="15.75" thickBot="1" x14ac:dyDescent="0.3">
      <c r="A181" s="46" t="s">
        <v>2622</v>
      </c>
      <c r="B181" s="47" t="s">
        <v>2645</v>
      </c>
      <c r="C181" s="48" t="s">
        <v>2647</v>
      </c>
      <c r="D181" s="49">
        <v>1</v>
      </c>
    </row>
    <row r="182" spans="1:4" x14ac:dyDescent="0.25">
      <c r="A182" s="40" t="s">
        <v>2634</v>
      </c>
      <c r="B182" s="41" t="s">
        <v>2646</v>
      </c>
      <c r="C182" s="42" t="s">
        <v>2640</v>
      </c>
      <c r="D182" s="43">
        <v>12.57</v>
      </c>
    </row>
    <row r="183" spans="1:4" x14ac:dyDescent="0.25">
      <c r="A183" s="44" t="s">
        <v>2635</v>
      </c>
      <c r="B183" s="34" t="s">
        <v>2642</v>
      </c>
      <c r="C183" s="36" t="s">
        <v>2640</v>
      </c>
      <c r="D183" s="45">
        <v>11.93</v>
      </c>
    </row>
    <row r="184" spans="1:4" x14ac:dyDescent="0.25">
      <c r="A184" s="44" t="s">
        <v>2627</v>
      </c>
      <c r="B184" s="34" t="s">
        <v>2643</v>
      </c>
      <c r="C184" s="36" t="s">
        <v>2647</v>
      </c>
      <c r="D184" s="45">
        <v>1</v>
      </c>
    </row>
    <row r="185" spans="1:4" x14ac:dyDescent="0.25">
      <c r="A185" s="44" t="s">
        <v>2626</v>
      </c>
      <c r="B185" s="34" t="s">
        <v>2644</v>
      </c>
      <c r="C185" s="36" t="s">
        <v>2647</v>
      </c>
      <c r="D185" s="45">
        <v>1</v>
      </c>
    </row>
    <row r="186" spans="1:4" ht="15.75" thickBot="1" x14ac:dyDescent="0.3">
      <c r="A186" s="46" t="s">
        <v>2625</v>
      </c>
      <c r="B186" s="47" t="s">
        <v>2645</v>
      </c>
      <c r="C186" s="48" t="s">
        <v>2647</v>
      </c>
      <c r="D186" s="49">
        <v>1</v>
      </c>
    </row>
    <row r="187" spans="1:4" x14ac:dyDescent="0.25">
      <c r="A187" s="40" t="s">
        <v>2636</v>
      </c>
      <c r="B187" s="41" t="s">
        <v>2646</v>
      </c>
      <c r="C187" s="42" t="s">
        <v>2640</v>
      </c>
      <c r="D187" s="43">
        <v>12.57</v>
      </c>
    </row>
    <row r="188" spans="1:4" x14ac:dyDescent="0.25">
      <c r="A188" s="44" t="s">
        <v>2637</v>
      </c>
      <c r="B188" s="34" t="s">
        <v>2642</v>
      </c>
      <c r="C188" s="34" t="s">
        <v>2640</v>
      </c>
      <c r="D188" s="45">
        <v>11.93</v>
      </c>
    </row>
    <row r="189" spans="1:4" x14ac:dyDescent="0.25">
      <c r="A189" s="44" t="s">
        <v>2630</v>
      </c>
      <c r="B189" s="34" t="s">
        <v>2643</v>
      </c>
      <c r="C189" s="34" t="s">
        <v>2647</v>
      </c>
      <c r="D189" s="45">
        <v>1</v>
      </c>
    </row>
    <row r="190" spans="1:4" x14ac:dyDescent="0.25">
      <c r="A190" s="44" t="s">
        <v>2629</v>
      </c>
      <c r="B190" s="34" t="s">
        <v>2644</v>
      </c>
      <c r="C190" s="34" t="s">
        <v>2647</v>
      </c>
      <c r="D190" s="45">
        <v>1</v>
      </c>
    </row>
    <row r="191" spans="1:4" ht="15.75" thickBot="1" x14ac:dyDescent="0.3">
      <c r="A191" s="46" t="s">
        <v>2628</v>
      </c>
      <c r="B191" s="47" t="s">
        <v>2645</v>
      </c>
      <c r="C191" s="47" t="s">
        <v>2647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54"/>
  <sheetViews>
    <sheetView tabSelected="1" topLeftCell="A10" workbookViewId="0">
      <pane xSplit="2" ySplit="5" topLeftCell="C39" activePane="bottomRight" state="frozen"/>
      <selection activeCell="A10" sqref="A10"/>
      <selection pane="topRight" activeCell="C10" sqref="C10"/>
      <selection pane="bottomLeft" activeCell="A15" sqref="A15"/>
      <selection pane="bottomRight" activeCell="J16" sqref="J16"/>
    </sheetView>
  </sheetViews>
  <sheetFormatPr defaultColWidth="8.85546875" defaultRowHeight="15" x14ac:dyDescent="0.25"/>
  <cols>
    <col min="1" max="1" width="22.42578125" style="1" customWidth="1"/>
    <col min="2" max="2" width="9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2621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2638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/>
      <c r="C10" s="80"/>
      <c r="D10" s="80"/>
      <c r="E10" s="80"/>
      <c r="F10" s="80"/>
      <c r="G10" s="81"/>
    </row>
    <row r="11" spans="1:9" ht="31.5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3.75" hidden="1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92" t="s">
        <v>1359</v>
      </c>
      <c r="B15" s="93" t="s">
        <v>2477</v>
      </c>
      <c r="C15" s="93" t="s">
        <v>2404</v>
      </c>
      <c r="D15" s="94" t="s">
        <v>2679</v>
      </c>
      <c r="E15" s="93">
        <v>31</v>
      </c>
      <c r="F15" s="88">
        <v>21.97</v>
      </c>
      <c r="G15" s="89">
        <v>681.07</v>
      </c>
      <c r="I15" s="10" t="e">
        <f>A15&amp;$E$8&amp;#REF!</f>
        <v>#REF!</v>
      </c>
    </row>
    <row r="16" spans="1:9" s="10" customFormat="1" ht="28.9" customHeight="1" x14ac:dyDescent="0.25">
      <c r="A16" s="92" t="s">
        <v>1361</v>
      </c>
      <c r="B16" s="93" t="s">
        <v>2479</v>
      </c>
      <c r="C16" s="93" t="s">
        <v>2404</v>
      </c>
      <c r="D16" s="94" t="s">
        <v>2679</v>
      </c>
      <c r="E16" s="93">
        <v>-24.2</v>
      </c>
      <c r="F16" s="88">
        <v>42.59</v>
      </c>
      <c r="G16" s="89">
        <v>-1030.68</v>
      </c>
      <c r="I16" s="10" t="e">
        <f>A16&amp;$E$8&amp;#REF!</f>
        <v>#REF!</v>
      </c>
    </row>
    <row r="17" spans="1:9" s="10" customFormat="1" ht="28.9" customHeight="1" x14ac:dyDescent="0.25">
      <c r="A17" s="92" t="s">
        <v>1429</v>
      </c>
      <c r="B17" s="93" t="s">
        <v>2553</v>
      </c>
      <c r="C17" s="93" t="s">
        <v>2404</v>
      </c>
      <c r="D17" s="94" t="s">
        <v>2679</v>
      </c>
      <c r="E17" s="93">
        <v>-13.5</v>
      </c>
      <c r="F17" s="88">
        <v>4.2</v>
      </c>
      <c r="G17" s="89">
        <v>-56.7</v>
      </c>
    </row>
    <row r="18" spans="1:9" s="10" customFormat="1" ht="28.9" customHeight="1" x14ac:dyDescent="0.25">
      <c r="A18" s="92" t="s">
        <v>1278</v>
      </c>
      <c r="B18" s="93" t="s">
        <v>2446</v>
      </c>
      <c r="C18" s="93" t="s">
        <v>2404</v>
      </c>
      <c r="D18" s="94" t="s">
        <v>2679</v>
      </c>
      <c r="E18" s="93">
        <v>-13.5</v>
      </c>
      <c r="F18" s="88">
        <v>5.75</v>
      </c>
      <c r="G18" s="89">
        <v>-77.63</v>
      </c>
    </row>
    <row r="19" spans="1:9" s="10" customFormat="1" ht="28.9" customHeight="1" x14ac:dyDescent="0.25">
      <c r="A19" s="92" t="s">
        <v>1428</v>
      </c>
      <c r="B19" s="93" t="s">
        <v>2552</v>
      </c>
      <c r="C19" s="93" t="s">
        <v>2404</v>
      </c>
      <c r="D19" s="94" t="s">
        <v>2679</v>
      </c>
      <c r="E19" s="93">
        <v>3</v>
      </c>
      <c r="F19" s="88">
        <v>9.89</v>
      </c>
      <c r="G19" s="89">
        <v>29.67</v>
      </c>
    </row>
    <row r="20" spans="1:9" s="10" customFormat="1" ht="28.9" customHeight="1" x14ac:dyDescent="0.25">
      <c r="A20" s="92" t="s">
        <v>1361</v>
      </c>
      <c r="B20" s="93" t="s">
        <v>2479</v>
      </c>
      <c r="C20" s="93" t="s">
        <v>2404</v>
      </c>
      <c r="D20" s="94" t="s">
        <v>2681</v>
      </c>
      <c r="E20" s="93">
        <v>1.5</v>
      </c>
      <c r="F20" s="88">
        <v>42.59</v>
      </c>
      <c r="G20" s="89">
        <v>63.89</v>
      </c>
    </row>
    <row r="21" spans="1:9" s="10" customFormat="1" ht="28.9" customHeight="1" x14ac:dyDescent="0.25">
      <c r="A21" s="92" t="s">
        <v>1359</v>
      </c>
      <c r="B21" s="93" t="s">
        <v>2477</v>
      </c>
      <c r="C21" s="93" t="s">
        <v>2404</v>
      </c>
      <c r="D21" s="94" t="s">
        <v>2681</v>
      </c>
      <c r="E21" s="93">
        <v>-1.2</v>
      </c>
      <c r="F21" s="88">
        <v>21.97</v>
      </c>
      <c r="G21" s="89">
        <v>-26.36</v>
      </c>
    </row>
    <row r="22" spans="1:9" s="10" customFormat="1" ht="28.9" customHeight="1" x14ac:dyDescent="0.25">
      <c r="A22" s="92" t="s">
        <v>1359</v>
      </c>
      <c r="B22" s="93" t="s">
        <v>2477</v>
      </c>
      <c r="C22" s="93" t="s">
        <v>2404</v>
      </c>
      <c r="D22" s="94" t="s">
        <v>2680</v>
      </c>
      <c r="E22" s="93">
        <v>1.6</v>
      </c>
      <c r="F22" s="88">
        <v>21.97</v>
      </c>
      <c r="G22" s="89">
        <v>35.15</v>
      </c>
    </row>
    <row r="23" spans="1:9" s="10" customFormat="1" ht="28.9" customHeight="1" x14ac:dyDescent="0.25">
      <c r="A23" s="92" t="s">
        <v>1361</v>
      </c>
      <c r="B23" s="93" t="s">
        <v>2479</v>
      </c>
      <c r="C23" s="93" t="s">
        <v>2404</v>
      </c>
      <c r="D23" s="94" t="s">
        <v>2682</v>
      </c>
      <c r="E23" s="93">
        <v>0.5</v>
      </c>
      <c r="F23" s="88">
        <v>42.59</v>
      </c>
      <c r="G23" s="89">
        <v>21.3</v>
      </c>
    </row>
    <row r="24" spans="1:9" s="10" customFormat="1" ht="28.9" customHeight="1" x14ac:dyDescent="0.25">
      <c r="A24" s="92" t="s">
        <v>1429</v>
      </c>
      <c r="B24" s="93" t="s">
        <v>2553</v>
      </c>
      <c r="C24" s="93" t="s">
        <v>2404</v>
      </c>
      <c r="D24" s="94" t="s">
        <v>2682</v>
      </c>
      <c r="E24" s="93">
        <v>3</v>
      </c>
      <c r="F24" s="88">
        <v>4.2</v>
      </c>
      <c r="G24" s="89">
        <v>12.6</v>
      </c>
    </row>
    <row r="25" spans="1:9" s="10" customFormat="1" ht="28.9" customHeight="1" x14ac:dyDescent="0.25">
      <c r="A25" s="92" t="s">
        <v>1361</v>
      </c>
      <c r="B25" s="93" t="s">
        <v>2479</v>
      </c>
      <c r="C25" s="93" t="s">
        <v>2404</v>
      </c>
      <c r="D25" s="94" t="s">
        <v>2683</v>
      </c>
      <c r="E25" s="93">
        <v>1.5</v>
      </c>
      <c r="F25" s="88">
        <v>42.59</v>
      </c>
      <c r="G25" s="89">
        <v>63.89</v>
      </c>
    </row>
    <row r="26" spans="1:9" s="10" customFormat="1" ht="28.9" customHeight="1" x14ac:dyDescent="0.25">
      <c r="A26" s="92" t="s">
        <v>1359</v>
      </c>
      <c r="B26" s="93" t="s">
        <v>2477</v>
      </c>
      <c r="C26" s="93" t="s">
        <v>2404</v>
      </c>
      <c r="D26" s="94" t="s">
        <v>2684</v>
      </c>
      <c r="E26" s="93">
        <v>-11.9</v>
      </c>
      <c r="F26" s="88">
        <v>21.97</v>
      </c>
      <c r="G26" s="89">
        <v>-261.44</v>
      </c>
      <c r="I26" s="10" t="e">
        <f>A26&amp;$E$8&amp;#REF!</f>
        <v>#REF!</v>
      </c>
    </row>
    <row r="27" spans="1:9" s="10" customFormat="1" ht="28.9" customHeight="1" x14ac:dyDescent="0.25">
      <c r="A27" s="92" t="s">
        <v>1361</v>
      </c>
      <c r="B27" s="93" t="s">
        <v>2479</v>
      </c>
      <c r="C27" s="93" t="s">
        <v>2404</v>
      </c>
      <c r="D27" s="94" t="s">
        <v>2684</v>
      </c>
      <c r="E27" s="93">
        <v>11.5</v>
      </c>
      <c r="F27" s="88">
        <v>42.59</v>
      </c>
      <c r="G27" s="89">
        <v>489.79</v>
      </c>
      <c r="I27" s="10" t="e">
        <f>A27&amp;$E$8&amp;#REF!</f>
        <v>#REF!</v>
      </c>
    </row>
    <row r="28" spans="1:9" s="10" customFormat="1" ht="28.9" customHeight="1" x14ac:dyDescent="0.25">
      <c r="A28" s="95" t="s">
        <v>1278</v>
      </c>
      <c r="B28" s="93" t="s">
        <v>2446</v>
      </c>
      <c r="C28" s="93" t="s">
        <v>2404</v>
      </c>
      <c r="D28" s="94" t="s">
        <v>2685</v>
      </c>
      <c r="E28" s="93">
        <v>4.2</v>
      </c>
      <c r="F28" s="88">
        <v>5.75</v>
      </c>
      <c r="G28" s="89">
        <v>24.15</v>
      </c>
      <c r="I28" s="10" t="e">
        <f>A28&amp;$E$8&amp;#REF!</f>
        <v>#REF!</v>
      </c>
    </row>
    <row r="29" spans="1:9" s="10" customFormat="1" ht="28.9" customHeight="1" x14ac:dyDescent="0.25">
      <c r="A29" s="95" t="s">
        <v>1359</v>
      </c>
      <c r="B29" s="96" t="s">
        <v>2477</v>
      </c>
      <c r="C29" s="96" t="s">
        <v>2404</v>
      </c>
      <c r="D29" s="97" t="s">
        <v>2685</v>
      </c>
      <c r="E29" s="96">
        <v>0.8</v>
      </c>
      <c r="F29" s="90">
        <v>21.97</v>
      </c>
      <c r="G29" s="91">
        <v>17.579999999999998</v>
      </c>
      <c r="I29" s="10" t="e">
        <f>A29&amp;$E$8&amp;#REF!</f>
        <v>#REF!</v>
      </c>
    </row>
    <row r="30" spans="1:9" s="10" customFormat="1" ht="28.9" customHeight="1" x14ac:dyDescent="0.25">
      <c r="A30" s="95" t="s">
        <v>1359</v>
      </c>
      <c r="B30" s="96" t="s">
        <v>2477</v>
      </c>
      <c r="C30" s="96" t="s">
        <v>2404</v>
      </c>
      <c r="D30" s="98" t="s">
        <v>2686</v>
      </c>
      <c r="E30" s="96">
        <v>1.7</v>
      </c>
      <c r="F30" s="90">
        <v>21.97</v>
      </c>
      <c r="G30" s="91">
        <v>37.35</v>
      </c>
      <c r="I30" s="10" t="e">
        <f>A30&amp;$E$8&amp;#REF!</f>
        <v>#REF!</v>
      </c>
    </row>
    <row r="31" spans="1:9" s="10" customFormat="1" ht="28.9" customHeight="1" x14ac:dyDescent="0.25">
      <c r="A31" s="95" t="s">
        <v>1359</v>
      </c>
      <c r="B31" s="96" t="s">
        <v>2477</v>
      </c>
      <c r="C31" s="96" t="s">
        <v>2404</v>
      </c>
      <c r="D31" s="98" t="s">
        <v>2686</v>
      </c>
      <c r="E31" s="96">
        <v>-3.2</v>
      </c>
      <c r="F31" s="90">
        <v>21.97</v>
      </c>
      <c r="G31" s="91">
        <v>-70.3</v>
      </c>
    </row>
    <row r="32" spans="1:9" s="10" customFormat="1" ht="28.9" customHeight="1" x14ac:dyDescent="0.25">
      <c r="A32" s="95" t="s">
        <v>1359</v>
      </c>
      <c r="B32" s="96" t="s">
        <v>2477</v>
      </c>
      <c r="C32" s="96" t="s">
        <v>2404</v>
      </c>
      <c r="D32" s="98" t="s">
        <v>2687</v>
      </c>
      <c r="E32" s="96">
        <v>-0.7</v>
      </c>
      <c r="F32" s="90">
        <v>21.97</v>
      </c>
      <c r="G32" s="91">
        <v>-15.38</v>
      </c>
    </row>
    <row r="33" spans="1:9" s="10" customFormat="1" ht="28.9" customHeight="1" x14ac:dyDescent="0.25">
      <c r="A33" s="95" t="s">
        <v>1361</v>
      </c>
      <c r="B33" s="96" t="s">
        <v>2479</v>
      </c>
      <c r="C33" s="96" t="s">
        <v>2404</v>
      </c>
      <c r="D33" s="98" t="s">
        <v>2688</v>
      </c>
      <c r="E33" s="96">
        <v>8.1</v>
      </c>
      <c r="F33" s="90">
        <v>42.59</v>
      </c>
      <c r="G33" s="91">
        <v>344.98</v>
      </c>
    </row>
    <row r="34" spans="1:9" s="10" customFormat="1" ht="28.9" customHeight="1" x14ac:dyDescent="0.25">
      <c r="A34" s="95" t="s">
        <v>1359</v>
      </c>
      <c r="B34" s="96" t="s">
        <v>2477</v>
      </c>
      <c r="C34" s="96" t="s">
        <v>2404</v>
      </c>
      <c r="D34" s="98" t="s">
        <v>2688</v>
      </c>
      <c r="E34" s="96">
        <v>-9.1</v>
      </c>
      <c r="F34" s="90">
        <v>21.97</v>
      </c>
      <c r="G34" s="91">
        <v>-199.93</v>
      </c>
    </row>
    <row r="35" spans="1:9" s="10" customFormat="1" ht="28.9" customHeight="1" x14ac:dyDescent="0.25">
      <c r="A35" s="95" t="s">
        <v>1368</v>
      </c>
      <c r="B35" s="96" t="s">
        <v>2486</v>
      </c>
      <c r="C35" s="96" t="s">
        <v>2404</v>
      </c>
      <c r="D35" s="98" t="s">
        <v>2688</v>
      </c>
      <c r="E35" s="96">
        <v>-9.1</v>
      </c>
      <c r="F35" s="90">
        <v>3.08</v>
      </c>
      <c r="G35" s="91">
        <v>-28.03</v>
      </c>
    </row>
    <row r="36" spans="1:9" s="10" customFormat="1" ht="28.9" customHeight="1" x14ac:dyDescent="0.25">
      <c r="A36" s="95" t="s">
        <v>1361</v>
      </c>
      <c r="B36" s="96" t="s">
        <v>2479</v>
      </c>
      <c r="C36" s="96" t="s">
        <v>2404</v>
      </c>
      <c r="D36" s="98" t="s">
        <v>2689</v>
      </c>
      <c r="E36" s="96">
        <v>19.399999999999999</v>
      </c>
      <c r="F36" s="90">
        <v>42.59</v>
      </c>
      <c r="G36" s="91">
        <v>826.25</v>
      </c>
    </row>
    <row r="37" spans="1:9" s="10" customFormat="1" ht="28.9" customHeight="1" x14ac:dyDescent="0.25">
      <c r="A37" s="95" t="s">
        <v>1359</v>
      </c>
      <c r="B37" s="96" t="s">
        <v>2477</v>
      </c>
      <c r="C37" s="96" t="s">
        <v>2404</v>
      </c>
      <c r="D37" s="98" t="s">
        <v>2689</v>
      </c>
      <c r="E37" s="96">
        <v>-1.5</v>
      </c>
      <c r="F37" s="90">
        <v>21.97</v>
      </c>
      <c r="G37" s="91">
        <v>-32.96</v>
      </c>
    </row>
    <row r="38" spans="1:9" s="10" customFormat="1" ht="28.9" customHeight="1" x14ac:dyDescent="0.25">
      <c r="A38" s="95" t="s">
        <v>1368</v>
      </c>
      <c r="B38" s="96" t="s">
        <v>2486</v>
      </c>
      <c r="C38" s="96" t="s">
        <v>2404</v>
      </c>
      <c r="D38" s="98" t="s">
        <v>2689</v>
      </c>
      <c r="E38" s="96">
        <v>-1.5</v>
      </c>
      <c r="F38" s="90">
        <v>3.08</v>
      </c>
      <c r="G38" s="91">
        <v>-4.62</v>
      </c>
      <c r="I38" s="10" t="e">
        <f>A38&amp;$E$8&amp;#REF!</f>
        <v>#REF!</v>
      </c>
    </row>
    <row r="39" spans="1:9" s="10" customFormat="1" ht="28.9" customHeight="1" x14ac:dyDescent="0.25">
      <c r="A39" s="95" t="s">
        <v>1278</v>
      </c>
      <c r="B39" s="96" t="s">
        <v>2446</v>
      </c>
      <c r="C39" s="96" t="s">
        <v>2404</v>
      </c>
      <c r="D39" s="97" t="s">
        <v>2690</v>
      </c>
      <c r="E39" s="96">
        <v>0.6</v>
      </c>
      <c r="F39" s="90">
        <v>5.75</v>
      </c>
      <c r="G39" s="91">
        <v>3.45</v>
      </c>
      <c r="I39" s="10" t="e">
        <f>A39&amp;$E$8&amp;#REF!</f>
        <v>#REF!</v>
      </c>
    </row>
    <row r="40" spans="1:9" s="10" customFormat="1" ht="28.9" customHeight="1" x14ac:dyDescent="0.25">
      <c r="A40" s="92" t="s">
        <v>1359</v>
      </c>
      <c r="B40" s="93" t="s">
        <v>2477</v>
      </c>
      <c r="C40" s="93" t="s">
        <v>2404</v>
      </c>
      <c r="D40" s="94" t="s">
        <v>2691</v>
      </c>
      <c r="E40" s="93">
        <v>0.7</v>
      </c>
      <c r="F40" s="88">
        <v>21.97</v>
      </c>
      <c r="G40" s="89">
        <v>15.38</v>
      </c>
      <c r="I40" s="10" t="e">
        <f>A40&amp;$E$8&amp;#REF!</f>
        <v>#REF!</v>
      </c>
    </row>
    <row r="41" spans="1:9" s="10" customFormat="1" ht="15.75" thickBot="1" x14ac:dyDescent="0.3">
      <c r="A41" s="82" t="s">
        <v>2616</v>
      </c>
      <c r="B41" s="83"/>
      <c r="C41" s="83"/>
      <c r="D41" s="83"/>
      <c r="E41" s="83"/>
      <c r="F41" s="83"/>
      <c r="G41" s="83"/>
    </row>
    <row r="42" spans="1:9" s="10" customFormat="1" ht="28.9" customHeight="1" x14ac:dyDescent="0.25">
      <c r="A42" s="15" t="s">
        <v>2631</v>
      </c>
      <c r="B42" s="7"/>
      <c r="C42" s="7"/>
      <c r="D42" s="29" t="s">
        <v>2618</v>
      </c>
      <c r="E42" s="28"/>
      <c r="F42" s="12"/>
      <c r="G42" s="16"/>
    </row>
    <row r="43" spans="1:9" s="10" customFormat="1" ht="28.9" customHeight="1" x14ac:dyDescent="0.25">
      <c r="A43" s="15" t="s">
        <v>2365</v>
      </c>
      <c r="B43" s="7" t="str">
        <f>IFERROR(INDEX('Code Description&amp;Unit (Hidden)'!$B:$B,MATCH('Variation Form (Cost)'!A43,'Code Description&amp;Unit (Hidden)'!$A:$A,0)),"")</f>
        <v/>
      </c>
      <c r="C43" s="7" t="str">
        <f>IFERROR(INDEX('Code Description&amp;Unit (Hidden)'!$C:$C,MATCH('Variation Form (Cost)'!A43,'Code Description&amp;Unit (Hidden)'!$A:$A,0)),"")</f>
        <v/>
      </c>
      <c r="D43" s="29" t="s">
        <v>2618</v>
      </c>
      <c r="E43" s="28"/>
      <c r="F43" s="12" t="str">
        <f>IFERROR(VLOOKUP(A43,'Code Description&amp;Unit (Hidden)'!A:D,4,FALSE),"")</f>
        <v/>
      </c>
      <c r="G43" s="16" t="str">
        <f t="shared" ref="G43:G47" si="0">IFERROR(F43*E43,"")</f>
        <v/>
      </c>
    </row>
    <row r="44" spans="1:9" s="10" customFormat="1" ht="28.9" customHeight="1" x14ac:dyDescent="0.25">
      <c r="A44" s="15" t="s">
        <v>2365</v>
      </c>
      <c r="B44" s="7" t="str">
        <f>IFERROR(INDEX('Code Description&amp;Unit (Hidden)'!$B:$B,MATCH('Variation Form (Cost)'!A44,'Code Description&amp;Unit (Hidden)'!$A:$A,0)),"")</f>
        <v/>
      </c>
      <c r="C44" s="7" t="str">
        <f>IFERROR(INDEX('Code Description&amp;Unit (Hidden)'!$C:$C,MATCH('Variation Form (Cost)'!A44,'Code Description&amp;Unit (Hidden)'!$A:$A,0)),"")</f>
        <v/>
      </c>
      <c r="D44" s="29" t="s">
        <v>2618</v>
      </c>
      <c r="E44" s="11"/>
      <c r="F44" s="12" t="str">
        <f>IFERROR(VLOOKUP(A44,'Code Description&amp;Unit (Hidden)'!A:D,4,FALSE),"")</f>
        <v/>
      </c>
      <c r="G44" s="16" t="str">
        <f t="shared" si="0"/>
        <v/>
      </c>
      <c r="I44" s="10" t="e">
        <f>A44&amp;$E$8&amp;#REF!</f>
        <v>#REF!</v>
      </c>
    </row>
    <row r="45" spans="1:9" s="10" customFormat="1" ht="28.9" customHeight="1" x14ac:dyDescent="0.25">
      <c r="A45" s="15" t="s">
        <v>2365</v>
      </c>
      <c r="B45" s="7" t="str">
        <f>IFERROR(INDEX('Code Description&amp;Unit (Hidden)'!$B:$B,MATCH('Variation Form (Cost)'!A45,'Code Description&amp;Unit (Hidden)'!$A:$A,0)),"")</f>
        <v/>
      </c>
      <c r="C45" s="7" t="str">
        <f>IFERROR(INDEX('Code Description&amp;Unit (Hidden)'!$C:$C,MATCH('Variation Form (Cost)'!A45,'Code Description&amp;Unit (Hidden)'!$A:$A,0)),"")</f>
        <v/>
      </c>
      <c r="D45" s="29" t="s">
        <v>2618</v>
      </c>
      <c r="E45" s="11"/>
      <c r="F45" s="12" t="str">
        <f>IFERROR(VLOOKUP(A45,'Code Description&amp;Unit (Hidden)'!A:D,4,FALSE),"")</f>
        <v/>
      </c>
      <c r="G45" s="16" t="str">
        <f t="shared" si="0"/>
        <v/>
      </c>
      <c r="I45" s="10" t="e">
        <f>A45&amp;$E$8&amp;#REF!</f>
        <v>#REF!</v>
      </c>
    </row>
    <row r="46" spans="1:9" s="10" customFormat="1" ht="28.9" customHeight="1" x14ac:dyDescent="0.25">
      <c r="A46" s="15" t="s">
        <v>2365</v>
      </c>
      <c r="B46" s="7" t="str">
        <f>IFERROR(INDEX('Code Description&amp;Unit (Hidden)'!$B:$B,MATCH('Variation Form (Cost)'!A46,'Code Description&amp;Unit (Hidden)'!$A:$A,0)),"")</f>
        <v/>
      </c>
      <c r="C46" s="7" t="str">
        <f>IFERROR(INDEX('Code Description&amp;Unit (Hidden)'!$C:$C,MATCH('Variation Form (Cost)'!A46,'Code Description&amp;Unit (Hidden)'!$A:$A,0)),"")</f>
        <v/>
      </c>
      <c r="D46" s="29" t="s">
        <v>2618</v>
      </c>
      <c r="E46" s="11"/>
      <c r="F46" s="12" t="str">
        <f>IFERROR(VLOOKUP(A46,'Code Description&amp;Unit (Hidden)'!A:D,4,FALSE),"")</f>
        <v/>
      </c>
      <c r="G46" s="16" t="str">
        <f t="shared" si="0"/>
        <v/>
      </c>
    </row>
    <row r="47" spans="1:9" s="10" customFormat="1" ht="28.9" customHeight="1" x14ac:dyDescent="0.25">
      <c r="A47" s="15" t="s">
        <v>2365</v>
      </c>
      <c r="B47" s="7" t="str">
        <f>IFERROR(INDEX('Code Description&amp;Unit (Hidden)'!$B:$B,MATCH('Variation Form (Cost)'!A47,'Code Description&amp;Unit (Hidden)'!$A:$A,0)),"")</f>
        <v/>
      </c>
      <c r="C47" s="7" t="str">
        <f>IFERROR(INDEX('Code Description&amp;Unit (Hidden)'!$C:$C,MATCH('Variation Form (Cost)'!A47,'Code Description&amp;Unit (Hidden)'!$A:$A,0)),"")</f>
        <v/>
      </c>
      <c r="D47" s="29" t="s">
        <v>2618</v>
      </c>
      <c r="E47" s="17"/>
      <c r="F47" s="12" t="str">
        <f>IFERROR(VLOOKUP(A47,'Code Description&amp;Unit (Hidden)'!A:D,4,FALSE),"")</f>
        <v/>
      </c>
      <c r="G47" s="16" t="str">
        <f t="shared" si="0"/>
        <v/>
      </c>
      <c r="I47" s="10" t="e">
        <f>A47&amp;$E$8&amp;#REF!</f>
        <v>#REF!</v>
      </c>
    </row>
    <row r="48" spans="1:9" s="10" customFormat="1" ht="28.9" customHeight="1" x14ac:dyDescent="0.25">
      <c r="A48" s="15" t="s">
        <v>2365</v>
      </c>
      <c r="B48" s="7" t="str">
        <f>IFERROR(INDEX('Code Description&amp;Unit (Hidden)'!$B:$B,MATCH('Variation Form (Cost)'!A48,'Code Description&amp;Unit (Hidden)'!$A:$A,0)),"")</f>
        <v/>
      </c>
      <c r="C48" s="7" t="str">
        <f>IFERROR(INDEX('Code Description&amp;Unit (Hidden)'!$C:$C,MATCH('Variation Form (Cost)'!A48,'Code Description&amp;Unit (Hidden)'!$A:$A,0)),"")</f>
        <v/>
      </c>
      <c r="D48" s="29" t="s">
        <v>2618</v>
      </c>
      <c r="E48" s="17"/>
      <c r="F48" s="12" t="str">
        <f>IFERROR(VLOOKUP(A48,'Code Description&amp;Unit (Hidden)'!A:D,4,FALSE),"")</f>
        <v/>
      </c>
      <c r="G48" s="16" t="str">
        <f t="shared" ref="G48" si="1">IFERROR(F48*E48,"")</f>
        <v/>
      </c>
    </row>
    <row r="49" spans="1:8" s="10" customFormat="1" ht="28.9" customHeight="1" x14ac:dyDescent="0.25">
      <c r="A49" s="15" t="s">
        <v>2365</v>
      </c>
      <c r="B49" s="7" t="str">
        <f>IFERROR(INDEX('Code Description&amp;Unit (Hidden)'!$B:$B,MATCH('Variation Form (Cost)'!A49,'Code Description&amp;Unit (Hidden)'!$A:$A,0)),"")</f>
        <v/>
      </c>
      <c r="C49" s="7" t="str">
        <f>IFERROR(INDEX('Code Description&amp;Unit (Hidden)'!$C:$C,MATCH('Variation Form (Cost)'!A49,'Code Description&amp;Unit (Hidden)'!$A:$A,0)),"")</f>
        <v/>
      </c>
      <c r="D49" s="29" t="s">
        <v>2618</v>
      </c>
      <c r="E49" s="17"/>
      <c r="F49" s="12" t="str">
        <f>IFERROR(VLOOKUP(A49,'Code Description&amp;Unit (Hidden)'!A:D,4,FALSE),"")</f>
        <v/>
      </c>
      <c r="G49" s="16" t="str">
        <f t="shared" ref="G49:G50" si="2">IFERROR(F49*E49,"")</f>
        <v/>
      </c>
    </row>
    <row r="50" spans="1:8" s="10" customFormat="1" ht="28.9" customHeight="1" thickBot="1" x14ac:dyDescent="0.3">
      <c r="A50" s="15" t="s">
        <v>2365</v>
      </c>
      <c r="B50" s="7" t="str">
        <f>IFERROR(INDEX('Code Description&amp;Unit (Hidden)'!$B:$B,MATCH('Variation Form (Cost)'!A50,'Code Description&amp;Unit (Hidden)'!$A:$A,0)),"")</f>
        <v/>
      </c>
      <c r="C50" s="7" t="str">
        <f>IFERROR(INDEX('Code Description&amp;Unit (Hidden)'!$C:$C,MATCH('Variation Form (Cost)'!A50,'Code Description&amp;Unit (Hidden)'!$A:$A,0)),"")</f>
        <v/>
      </c>
      <c r="D50" s="29" t="s">
        <v>2618</v>
      </c>
      <c r="E50" s="17"/>
      <c r="F50" s="12" t="str">
        <f>IFERROR(VLOOKUP(A50,'Code Description&amp;Unit (Hidden)'!A:D,4,FALSE),"")</f>
        <v/>
      </c>
      <c r="G50" s="16" t="str">
        <f t="shared" si="2"/>
        <v/>
      </c>
    </row>
    <row r="51" spans="1:8" s="10" customFormat="1" ht="28.9" customHeight="1" thickBot="1" x14ac:dyDescent="0.3">
      <c r="A51" s="68" t="s">
        <v>2592</v>
      </c>
      <c r="B51" s="69"/>
      <c r="C51" s="69"/>
      <c r="D51" s="69"/>
      <c r="E51" s="69"/>
      <c r="F51" s="70"/>
      <c r="G51" s="18">
        <f>SUM(G15:G50)</f>
        <v>862.47</v>
      </c>
      <c r="H51" s="1"/>
    </row>
    <row r="52" spans="1:8" x14ac:dyDescent="0.25">
      <c r="A52" s="13"/>
      <c r="B52" s="6"/>
      <c r="C52" s="6"/>
      <c r="D52" s="6"/>
      <c r="E52" s="6"/>
      <c r="F52" s="6"/>
      <c r="G52" s="14"/>
    </row>
    <row r="53" spans="1:8" x14ac:dyDescent="0.25">
      <c r="A53" s="56" t="s">
        <v>2593</v>
      </c>
      <c r="B53" s="57"/>
      <c r="C53" s="57"/>
      <c r="D53" s="57"/>
      <c r="E53" s="57"/>
      <c r="F53" s="57"/>
      <c r="G53" s="58"/>
    </row>
    <row r="54" spans="1:8" ht="15.75" thickBot="1" x14ac:dyDescent="0.3">
      <c r="A54" s="59" t="s">
        <v>2589</v>
      </c>
      <c r="B54" s="60"/>
      <c r="C54" s="60"/>
      <c r="D54" s="60"/>
      <c r="E54" s="60"/>
      <c r="F54" s="60"/>
      <c r="G54" s="61"/>
    </row>
  </sheetData>
  <mergeCells count="12">
    <mergeCell ref="A53:G53"/>
    <mergeCell ref="A54:G54"/>
    <mergeCell ref="A4:G4"/>
    <mergeCell ref="A5:G5"/>
    <mergeCell ref="A51:F51"/>
    <mergeCell ref="A11:G11"/>
    <mergeCell ref="A12:G12"/>
    <mergeCell ref="A6:G6"/>
    <mergeCell ref="B9:G9"/>
    <mergeCell ref="B10:G10"/>
    <mergeCell ref="A41:G41"/>
    <mergeCell ref="B8:G8"/>
  </mergeCells>
  <conditionalFormatting sqref="A42:G50 A29:G40 A15:G27">
    <cfRule type="expression" dxfId="1" priority="3">
      <formula>MOD(ROW(),2)=1</formula>
    </cfRule>
  </conditionalFormatting>
  <conditionalFormatting sqref="A28:G28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D42:D50</xm:sqref>
        </x14:dataValidation>
        <x14:dataValidation type="list" allowBlank="1" showInputMessage="1" showErrorMessage="1">
          <x14:formula1>
            <xm:f>'Build Up (Hidden)'!$AA$1:$AA$17</xm:f>
          </x14:formula1>
          <xm:sqref>A42:A50</xm:sqref>
        </x14:dataValidation>
        <x14:dataValidation type="list" allowBlank="1" showInputMessage="1" showErrorMessage="1">
          <x14:formula1>
            <xm:f>'Build Up (Hidden)'!$A$1:$A$175</xm:f>
          </x14:formula1>
          <xm:sqref>A15:A40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2671</v>
      </c>
    </row>
    <row r="2" spans="2:4" x14ac:dyDescent="0.25">
      <c r="B2" s="87" t="s">
        <v>2648</v>
      </c>
      <c r="C2" s="87"/>
    </row>
    <row r="3" spans="2:4" x14ac:dyDescent="0.25">
      <c r="B3" s="51">
        <v>566</v>
      </c>
      <c r="C3" s="32" t="s">
        <v>2649</v>
      </c>
    </row>
    <row r="4" spans="2:4" x14ac:dyDescent="0.25">
      <c r="B4" s="51">
        <v>572</v>
      </c>
      <c r="C4" s="32" t="s">
        <v>2650</v>
      </c>
    </row>
    <row r="5" spans="2:4" x14ac:dyDescent="0.25">
      <c r="B5" s="51">
        <v>577</v>
      </c>
      <c r="C5" s="32" t="s">
        <v>2651</v>
      </c>
    </row>
    <row r="7" spans="2:4" x14ac:dyDescent="0.25">
      <c r="B7" s="32" t="s">
        <v>2652</v>
      </c>
      <c r="C7" s="32" t="s">
        <v>2653</v>
      </c>
      <c r="D7" s="32"/>
    </row>
    <row r="8" spans="2:4" x14ac:dyDescent="0.25">
      <c r="B8" s="51" t="s">
        <v>2654</v>
      </c>
      <c r="C8" s="50">
        <v>577</v>
      </c>
      <c r="D8" s="32" t="s">
        <v>2673</v>
      </c>
    </row>
    <row r="9" spans="2:4" x14ac:dyDescent="0.25">
      <c r="B9" s="51" t="s">
        <v>2655</v>
      </c>
      <c r="C9" s="50">
        <v>577</v>
      </c>
      <c r="D9" s="32" t="s">
        <v>2674</v>
      </c>
    </row>
    <row r="10" spans="2:4" x14ac:dyDescent="0.25">
      <c r="B10" s="51" t="s">
        <v>2656</v>
      </c>
      <c r="C10" s="50" t="s">
        <v>2661</v>
      </c>
      <c r="D10" s="32" t="s">
        <v>2675</v>
      </c>
    </row>
    <row r="11" spans="2:4" x14ac:dyDescent="0.25">
      <c r="B11" s="51" t="s">
        <v>2657</v>
      </c>
      <c r="C11" s="50">
        <v>577</v>
      </c>
      <c r="D11" s="32" t="s">
        <v>2672</v>
      </c>
    </row>
    <row r="12" spans="2:4" x14ac:dyDescent="0.25">
      <c r="B12" s="51" t="s">
        <v>2658</v>
      </c>
      <c r="C12" s="50" t="s">
        <v>2661</v>
      </c>
      <c r="D12" s="32" t="s">
        <v>2676</v>
      </c>
    </row>
    <row r="13" spans="2:4" x14ac:dyDescent="0.25">
      <c r="B13" s="51" t="s">
        <v>2659</v>
      </c>
      <c r="C13" s="50" t="s">
        <v>2661</v>
      </c>
      <c r="D13" s="32" t="s">
        <v>2677</v>
      </c>
    </row>
    <row r="14" spans="2:4" x14ac:dyDescent="0.25">
      <c r="B14" s="51" t="s">
        <v>2660</v>
      </c>
      <c r="C14" s="50" t="s">
        <v>2662</v>
      </c>
      <c r="D14" s="32" t="s">
        <v>2678</v>
      </c>
    </row>
    <row r="16" spans="2:4" x14ac:dyDescent="0.25">
      <c r="B16" s="52" t="s">
        <v>2663</v>
      </c>
      <c r="C16" s="33" t="s">
        <v>2664</v>
      </c>
    </row>
    <row r="17" spans="2:3" ht="30" x14ac:dyDescent="0.25">
      <c r="B17" s="52" t="s">
        <v>2665</v>
      </c>
      <c r="C17" s="53" t="s">
        <v>2668</v>
      </c>
    </row>
    <row r="18" spans="2:3" ht="45" x14ac:dyDescent="0.25">
      <c r="B18" s="52" t="s">
        <v>2666</v>
      </c>
      <c r="C18" s="53" t="s">
        <v>2669</v>
      </c>
    </row>
    <row r="19" spans="2:3" ht="30" x14ac:dyDescent="0.25">
      <c r="B19" s="52" t="s">
        <v>2667</v>
      </c>
      <c r="C19" s="53" t="s">
        <v>2670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2018-04-13T03:49:01Z</dcterms:modified>
</cp:coreProperties>
</file>
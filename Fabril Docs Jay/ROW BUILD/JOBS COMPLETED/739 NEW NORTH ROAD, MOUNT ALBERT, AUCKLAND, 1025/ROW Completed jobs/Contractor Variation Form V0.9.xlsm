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(Cost)'!$A$1:$G$33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4" l="1"/>
  <c r="G19" i="4"/>
  <c r="C19" i="4"/>
  <c r="B19" i="4"/>
  <c r="F18" i="4"/>
  <c r="G18" i="4"/>
  <c r="C18" i="4"/>
  <c r="B18" i="4"/>
  <c r="F17" i="4"/>
  <c r="G17" i="4"/>
  <c r="C17" i="4"/>
  <c r="B17" i="4"/>
  <c r="F29" i="4"/>
  <c r="F28" i="4"/>
  <c r="F27" i="4"/>
  <c r="F26" i="4"/>
  <c r="F25" i="4"/>
  <c r="F24" i="4"/>
  <c r="F23" i="4"/>
  <c r="F22" i="4"/>
  <c r="F15" i="4"/>
  <c r="F16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29" i="4"/>
  <c r="B29" i="4"/>
  <c r="C28" i="4"/>
  <c r="B28" i="4"/>
  <c r="C27" i="4"/>
  <c r="B27" i="4"/>
  <c r="C26" i="4"/>
  <c r="C25" i="4"/>
  <c r="C24" i="4"/>
  <c r="C23" i="4"/>
  <c r="C22" i="4"/>
  <c r="C16" i="4"/>
  <c r="C15" i="4"/>
  <c r="B26" i="4"/>
  <c r="B25" i="4"/>
  <c r="B24" i="4"/>
  <c r="B23" i="4"/>
  <c r="G29" i="4"/>
  <c r="G28" i="4"/>
  <c r="G27" i="4"/>
  <c r="G25" i="4"/>
  <c r="G22" i="4"/>
  <c r="I15" i="4"/>
  <c r="I16" i="4"/>
  <c r="I23" i="4"/>
  <c r="G23" i="4"/>
  <c r="I24" i="4"/>
  <c r="G24" i="4"/>
  <c r="I26" i="4"/>
  <c r="G26" i="4"/>
  <c r="B15" i="4"/>
  <c r="B16" i="4"/>
  <c r="G16" i="4"/>
  <c r="G15" i="4"/>
  <c r="G30" i="4"/>
</calcChain>
</file>

<file path=xl/sharedStrings.xml><?xml version="1.0" encoding="utf-8"?>
<sst xmlns="http://schemas.openxmlformats.org/spreadsheetml/2006/main" count="29817" uniqueCount="2681">
  <si>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</si>
  <si>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</si>
  <si>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</si>
  <si>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</si>
  <si>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</si>
  <si>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</si>
  <si>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</si>
  <si>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</si>
  <si>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</si>
  <si>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</si>
  <si>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</si>
  <si>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</si>
  <si>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</si>
  <si>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</si>
  <si>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</si>
  <si>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</si>
  <si>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</si>
  <si>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</si>
  <si>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</si>
  <si>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</si>
  <si>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</si>
  <si>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</si>
  <si>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</si>
  <si>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</si>
  <si>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</si>
  <si>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</si>
  <si>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</si>
  <si>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</si>
  <si>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</si>
  <si>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</si>
  <si>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</si>
  <si>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</si>
  <si>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</si>
  <si>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</si>
  <si>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</si>
  <si>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</si>
  <si>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</si>
  <si>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</si>
  <si>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</si>
  <si>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</si>
  <si>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</si>
  <si>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</si>
  <si>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</si>
  <si>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</si>
  <si>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</si>
  <si>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</si>
  <si>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</si>
  <si>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</si>
  <si>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</si>
  <si>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</si>
  <si>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</si>
  <si>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</si>
  <si>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</si>
  <si>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</si>
  <si>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</si>
  <si>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</si>
  <si>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</si>
  <si>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</si>
  <si>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</si>
  <si>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</si>
  <si>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</si>
  <si>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</si>
  <si>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</si>
  <si>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</si>
  <si>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</si>
  <si>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</si>
  <si>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</si>
  <si>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</si>
  <si>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</si>
  <si>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</si>
  <si>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</si>
  <si>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</si>
  <si>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</si>
  <si>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</si>
  <si>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</si>
  <si>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</si>
  <si>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</si>
  <si>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</si>
  <si>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</si>
  <si>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</si>
  <si>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</si>
  <si>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</si>
  <si>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</si>
  <si>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</si>
  <si>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</si>
  <si>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</si>
  <si>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</si>
  <si>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</si>
  <si>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</si>
  <si>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</si>
  <si>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</si>
  <si>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</si>
  <si>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</si>
  <si>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</si>
  <si>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</si>
  <si>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</si>
  <si>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</si>
  <si>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</si>
  <si>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</si>
  <si>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</si>
  <si>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</si>
  <si>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</si>
  <si>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</si>
  <si>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</si>
  <si>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</si>
  <si>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</si>
  <si>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</si>
  <si>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</si>
  <si>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</si>
  <si>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</si>
  <si>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</si>
  <si>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</si>
  <si>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</si>
  <si>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</si>
  <si>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</si>
  <si>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</si>
  <si>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</si>
  <si>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</si>
  <si>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</si>
  <si>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</si>
  <si>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</si>
  <si>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</si>
  <si>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</si>
  <si>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</si>
  <si>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</si>
  <si>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</si>
  <si>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</si>
  <si>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</si>
  <si>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</si>
  <si>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</si>
  <si>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</si>
  <si>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</si>
  <si>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</si>
  <si>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</si>
  <si>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</si>
  <si>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</si>
  <si>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</si>
  <si>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</si>
  <si>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</si>
  <si>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</si>
  <si>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</si>
  <si>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</si>
  <si>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</si>
  <si>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</si>
  <si>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</si>
  <si>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</si>
  <si>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</si>
  <si>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</si>
  <si>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</si>
  <si>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</si>
  <si>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</si>
  <si>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</si>
  <si>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</si>
  <si>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</si>
  <si>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</si>
  <si>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</si>
  <si>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</si>
  <si>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</si>
  <si>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</si>
  <si>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</si>
  <si>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</si>
  <si>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</si>
  <si>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</si>
  <si>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</si>
  <si>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</si>
  <si>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</si>
  <si>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</si>
  <si>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</si>
  <si>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</si>
  <si>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</si>
  <si>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</si>
  <si>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</si>
  <si>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</si>
  <si>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</si>
  <si>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</si>
  <si>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</si>
  <si>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</si>
  <si>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</si>
  <si>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</si>
  <si>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</si>
  <si>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</si>
  <si>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</si>
  <si>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</si>
  <si>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</si>
  <si>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</si>
  <si>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</si>
  <si>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</si>
  <si>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</si>
  <si>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</si>
  <si>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</si>
  <si>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</si>
  <si>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</si>
  <si>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</si>
  <si>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</si>
  <si>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</si>
  <si>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</si>
  <si>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</si>
  <si>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</si>
  <si>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</si>
  <si>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</si>
  <si>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</si>
  <si>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</si>
  <si>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</si>
  <si>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</si>
  <si>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</si>
  <si>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</si>
  <si>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</si>
  <si>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</si>
  <si>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</si>
  <si>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</si>
  <si>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</si>
  <si>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</si>
  <si>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</si>
  <si>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</si>
  <si>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</si>
  <si>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</si>
  <si>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</si>
  <si>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</si>
  <si>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</si>
  <si>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</si>
  <si>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</si>
  <si>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</si>
  <si>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</si>
  <si>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</si>
  <si>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</si>
  <si>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</si>
  <si>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</si>
  <si>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</si>
  <si>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</si>
  <si>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</si>
  <si>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</si>
  <si>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</si>
  <si>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</si>
  <si>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</si>
  <si>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</si>
  <si>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</si>
  <si>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</si>
  <si>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</si>
  <si>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</si>
  <si>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</si>
  <si>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</si>
  <si>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</si>
  <si>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</si>
  <si>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</si>
  <si>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</si>
  <si>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</si>
  <si>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</si>
  <si>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</si>
  <si>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</si>
  <si>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</si>
  <si>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</si>
  <si>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</si>
  <si>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</si>
  <si>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</si>
  <si>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</si>
  <si>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</si>
  <si>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</si>
  <si>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</si>
  <si>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</si>
  <si>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</si>
  <si>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</si>
  <si>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</si>
  <si>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</si>
  <si>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</si>
  <si>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</si>
  <si>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</si>
  <si>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</si>
  <si>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</si>
  <si>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</si>
  <si>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</si>
  <si>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</si>
  <si>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</si>
  <si>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</si>
  <si>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</si>
  <si>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</si>
  <si>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</si>
  <si>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</si>
  <si>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</si>
  <si>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</si>
  <si>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</si>
  <si>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</si>
  <si>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</si>
  <si>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</si>
  <si>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</si>
  <si>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</si>
  <si>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</si>
  <si>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</si>
  <si>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</si>
  <si>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</si>
  <si>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</si>
  <si>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</si>
  <si>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</si>
  <si>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</si>
  <si>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</si>
  <si>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</si>
  <si>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</si>
  <si>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</si>
  <si>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</si>
  <si>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</si>
  <si>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</si>
  <si>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</si>
  <si>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</si>
  <si>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</si>
  <si>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</si>
  <si>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</si>
  <si>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</si>
  <si>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</si>
  <si>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</si>
  <si>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</si>
  <si>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</si>
  <si>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</si>
  <si>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</si>
  <si>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</si>
  <si>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</si>
  <si>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</si>
  <si>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</si>
  <si>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</si>
  <si>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</si>
  <si>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</si>
  <si>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</si>
  <si>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</si>
  <si>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</si>
  <si>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</si>
  <si>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</si>
  <si>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</si>
  <si>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</si>
  <si>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</si>
  <si>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</si>
  <si>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</si>
  <si>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</si>
  <si>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</si>
  <si>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</si>
  <si>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</si>
  <si>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</si>
  <si>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</si>
  <si>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</si>
  <si>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</si>
  <si>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</si>
  <si>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</si>
  <si>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</si>
  <si>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</si>
  <si>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</si>
  <si>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</si>
  <si>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</si>
  <si>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</si>
  <si>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</si>
  <si>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</si>
  <si>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</si>
  <si>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</si>
  <si>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</si>
  <si>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</si>
  <si>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</si>
  <si>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</si>
  <si>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</si>
  <si>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</si>
  <si>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</si>
  <si>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</si>
  <si>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</si>
  <si>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</si>
  <si>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</si>
  <si>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</si>
  <si>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</si>
  <si>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</si>
  <si>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</si>
  <si>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</si>
  <si>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</si>
  <si>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</si>
  <si>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</si>
  <si>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</si>
  <si>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</si>
  <si>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</si>
  <si>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</si>
  <si>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</si>
  <si>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</si>
  <si>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</si>
  <si>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</si>
  <si>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</si>
  <si>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</si>
  <si>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</si>
  <si>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</si>
  <si>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</si>
  <si>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</si>
  <si>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</si>
  <si>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</si>
  <si>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</si>
  <si>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</si>
  <si>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</si>
  <si>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</si>
  <si>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</si>
  <si>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</si>
  <si>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</si>
  <si>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</si>
  <si>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</si>
  <si>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</si>
  <si>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</si>
  <si>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</si>
  <si>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</si>
  <si>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</si>
  <si>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</si>
  <si>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</si>
  <si>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</si>
  <si>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</si>
  <si>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</si>
  <si>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</si>
  <si>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</si>
  <si>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</si>
  <si>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</si>
  <si>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</si>
  <si>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</si>
  <si>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</si>
  <si>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</si>
  <si>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</si>
  <si>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</si>
  <si>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</si>
  <si>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</si>
  <si>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</si>
  <si>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</si>
  <si>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</si>
  <si>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</si>
  <si>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</si>
  <si>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</si>
  <si>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</si>
  <si>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</si>
  <si>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</si>
  <si>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</si>
  <si>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</si>
  <si>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</si>
  <si>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</si>
  <si>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</si>
  <si>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</si>
  <si>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</si>
  <si>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</si>
  <si>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</si>
  <si>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</si>
  <si>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</si>
  <si>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</si>
  <si>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</si>
  <si>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</si>
  <si>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</si>
  <si>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</si>
  <si>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</si>
  <si>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</si>
  <si>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</si>
  <si>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</si>
  <si>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</si>
  <si>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</si>
  <si>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</si>
  <si>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</si>
  <si>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</si>
  <si>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</si>
  <si>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</si>
  <si>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</si>
  <si>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</si>
  <si>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</si>
  <si>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</si>
  <si>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</si>
  <si>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</si>
  <si>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</si>
  <si>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</si>
  <si>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</si>
  <si>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</si>
  <si>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</si>
  <si>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</si>
  <si>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</si>
  <si>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</si>
  <si>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</si>
  <si>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</si>
  <si>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</si>
  <si>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</si>
  <si>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</si>
  <si>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</si>
  <si>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</si>
  <si>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</si>
  <si>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</si>
  <si>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</si>
  <si>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</si>
  <si>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</si>
  <si>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</si>
  <si>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</si>
  <si>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</si>
  <si>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</si>
  <si>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</si>
  <si>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</si>
  <si>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</si>
  <si>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</si>
  <si>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</si>
  <si>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</si>
  <si>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</si>
  <si>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</si>
  <si>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</si>
  <si>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</si>
  <si>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</si>
  <si>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</si>
  <si>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</si>
  <si>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</si>
  <si>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</si>
  <si>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</si>
  <si>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</si>
  <si>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</si>
  <si>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</si>
  <si>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</si>
  <si>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</si>
  <si>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</si>
  <si>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</si>
  <si>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</si>
  <si>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</si>
  <si>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</si>
  <si>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</si>
  <si>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</si>
  <si>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</si>
  <si>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</si>
  <si>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</si>
  <si>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</si>
  <si>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</si>
  <si>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</si>
  <si>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</si>
  <si>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</si>
  <si>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</si>
  <si>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</si>
  <si>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</si>
  <si>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</si>
  <si>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</si>
  <si>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</si>
  <si>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</si>
  <si>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</si>
  <si>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</si>
  <si>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</si>
  <si>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</si>
  <si>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</si>
  <si>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</si>
  <si>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</si>
  <si>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</si>
  <si>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</si>
  <si>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</si>
  <si>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</si>
  <si>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</si>
  <si>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</si>
  <si>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</si>
  <si>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</si>
  <si>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</si>
  <si>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</si>
  <si>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</si>
  <si>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</si>
  <si>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</si>
  <si>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</si>
  <si>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</si>
  <si>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</si>
  <si>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</si>
  <si>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</si>
  <si>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</si>
  <si>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</si>
  <si>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</si>
  <si>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</si>
  <si>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</si>
  <si>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</si>
  <si>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</si>
  <si>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</si>
  <si>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</si>
  <si>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</si>
  <si>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</si>
  <si>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</si>
  <si>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</si>
  <si>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</si>
  <si>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</si>
  <si>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</si>
  <si>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</si>
  <si>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</si>
  <si>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</si>
  <si>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</si>
  <si>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</si>
  <si>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</si>
  <si>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</si>
  <si>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</si>
  <si>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</si>
  <si>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</si>
  <si>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</si>
  <si>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</si>
  <si>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</si>
  <si>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</si>
  <si>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</si>
  <si>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</si>
  <si>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</si>
  <si>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</si>
  <si>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</si>
  <si>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</si>
  <si>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</si>
  <si>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</si>
  <si>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</si>
  <si>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</si>
  <si>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</si>
  <si>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</si>
  <si>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</si>
  <si>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</si>
  <si>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</si>
  <si>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</si>
  <si>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</si>
  <si>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</si>
  <si>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</si>
  <si>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</si>
  <si>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</si>
  <si>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</si>
  <si>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</si>
  <si>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</si>
  <si>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</si>
  <si>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</si>
  <si>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</si>
  <si>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</si>
  <si>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</si>
  <si>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</si>
  <si>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</si>
  <si>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</si>
  <si>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</si>
  <si>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</si>
  <si>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</si>
  <si>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</si>
  <si>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</si>
  <si>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</si>
  <si>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</si>
  <si>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</si>
  <si>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</si>
  <si>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</si>
  <si>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</si>
  <si>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</si>
  <si>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</si>
  <si>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</si>
  <si>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</si>
  <si>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</si>
  <si>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</si>
  <si>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</si>
  <si>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</si>
  <si>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</si>
  <si>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</si>
  <si>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</si>
  <si>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</si>
  <si>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</si>
  <si>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</si>
  <si>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</si>
  <si>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</si>
  <si>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</si>
  <si>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</si>
  <si>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</si>
  <si>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</si>
  <si>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</si>
  <si>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</si>
  <si>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</si>
  <si>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</si>
  <si>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</si>
  <si>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</si>
  <si>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</si>
  <si>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</si>
  <si>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</si>
  <si>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</si>
  <si>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</si>
  <si>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</si>
  <si>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</si>
  <si>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</si>
  <si>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</si>
  <si>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</si>
  <si>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</si>
  <si>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</si>
  <si>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</si>
  <si>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</si>
  <si>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</si>
  <si>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</si>
  <si>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</si>
  <si>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</si>
  <si>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</si>
  <si>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</si>
  <si>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</si>
  <si>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</si>
  <si>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</si>
  <si>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</si>
  <si>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</si>
  <si>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</si>
  <si>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</si>
  <si>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</si>
  <si>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</si>
  <si>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</si>
  <si>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</si>
  <si>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</si>
  <si>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</si>
  <si>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</si>
  <si>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</si>
  <si>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</si>
  <si>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</si>
  <si>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</si>
  <si>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</si>
  <si>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</si>
  <si>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</si>
  <si>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</si>
  <si>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</si>
  <si>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</si>
  <si>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</si>
  <si>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</si>
  <si>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</si>
  <si>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</si>
  <si>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</si>
  <si>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</si>
  <si>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</si>
  <si>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</si>
  <si>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</si>
  <si>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</si>
  <si>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</si>
  <si>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</si>
  <si>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</si>
  <si>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</si>
  <si>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</si>
  <si>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</si>
  <si>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</si>
  <si>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</si>
  <si>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</si>
  <si>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</si>
  <si>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</si>
  <si>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</si>
  <si>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</si>
  <si>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</si>
  <si>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</si>
  <si>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</si>
  <si>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</si>
  <si>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</si>
  <si>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</si>
  <si>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</si>
  <si>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</si>
  <si>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</si>
  <si>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</si>
  <si>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</si>
  <si>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</si>
  <si>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</si>
  <si>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</si>
  <si>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</si>
  <si>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</si>
  <si>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</si>
  <si>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</si>
  <si>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</si>
  <si>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</si>
  <si>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</si>
  <si>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</si>
  <si>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</si>
  <si>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</si>
  <si>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</si>
  <si>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</si>
  <si>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</si>
  <si>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</si>
  <si>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</si>
  <si>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</si>
  <si>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</si>
  <si>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</si>
  <si>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</si>
  <si>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</si>
  <si>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</si>
  <si>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</si>
  <si>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</si>
  <si>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</si>
  <si>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</si>
  <si>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</si>
  <si>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</si>
  <si>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</si>
  <si>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</si>
  <si>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</si>
  <si>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</si>
  <si>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</si>
  <si>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</si>
  <si>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</si>
  <si>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</si>
  <si>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</si>
  <si>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</si>
  <si>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</si>
  <si>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</si>
  <si>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</si>
  <si>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</si>
  <si>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</si>
  <si>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</si>
  <si>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</si>
  <si>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</si>
  <si>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</si>
  <si>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</si>
  <si>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</si>
  <si>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</si>
  <si>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</si>
  <si>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</si>
  <si>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</si>
  <si>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</si>
  <si>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</si>
  <si>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</si>
  <si>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</si>
  <si>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</si>
  <si>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</si>
  <si>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</si>
  <si>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</si>
  <si>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</si>
  <si>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</si>
  <si>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</si>
  <si>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</si>
  <si>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</si>
  <si>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</si>
  <si>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</si>
  <si>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</si>
  <si>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</si>
  <si>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</si>
  <si>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</si>
  <si>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</si>
  <si>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</si>
  <si>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</si>
  <si>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</si>
  <si>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</si>
  <si>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</si>
  <si>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</si>
  <si>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</si>
  <si>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</si>
  <si>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</si>
  <si>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</si>
  <si>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</si>
  <si>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</si>
  <si>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</si>
  <si>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</si>
  <si>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</si>
  <si>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</si>
  <si>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</si>
  <si>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</si>
  <si>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</si>
  <si>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</si>
  <si>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</si>
  <si>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</si>
  <si>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</si>
  <si>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</si>
  <si>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</si>
  <si>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</si>
  <si>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</si>
  <si>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</si>
  <si>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</si>
  <si>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</si>
  <si>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</si>
  <si>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</si>
  <si>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</si>
  <si>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</si>
  <si>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</si>
  <si>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</si>
  <si>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</si>
  <si>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</si>
  <si>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</si>
  <si>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</si>
  <si>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</si>
  <si>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</si>
  <si>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</si>
  <si>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</si>
  <si>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</si>
  <si>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</si>
  <si>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</si>
  <si>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</si>
  <si>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</si>
  <si>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</si>
  <si>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</si>
  <si>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</si>
  <si>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</si>
  <si>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</si>
  <si>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</si>
  <si>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</si>
  <si>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</si>
  <si>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</si>
  <si>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</si>
  <si>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</si>
  <si>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</si>
  <si>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</si>
  <si>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</si>
  <si>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</si>
  <si>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</si>
  <si>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</si>
  <si>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</si>
  <si>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</si>
  <si>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</si>
  <si>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</si>
  <si>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</si>
  <si>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</si>
  <si>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</si>
  <si>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</si>
  <si>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</si>
  <si>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</si>
  <si>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</si>
  <si>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</si>
  <si>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</si>
  <si>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</si>
  <si>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</si>
  <si>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</si>
  <si>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</si>
  <si>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</si>
  <si>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</si>
  <si>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</si>
  <si>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</si>
  <si>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</si>
  <si>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</si>
  <si>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</si>
  <si>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</si>
  <si>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</si>
  <si>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</si>
  <si>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</si>
  <si>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</si>
  <si>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</si>
  <si>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</si>
  <si>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</si>
  <si>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</si>
  <si>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</si>
  <si>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</si>
  <si>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</si>
  <si>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</si>
  <si>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</si>
  <si>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</si>
  <si>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</si>
  <si>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</si>
  <si>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</si>
  <si>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</si>
  <si>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</si>
  <si>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</si>
  <si>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</si>
  <si>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</si>
  <si>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</si>
  <si>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</si>
  <si>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</si>
  <si>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</si>
  <si>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</si>
  <si>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</si>
  <si>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</si>
  <si>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</si>
  <si>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</si>
  <si>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</si>
  <si>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</si>
  <si>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</si>
  <si>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</si>
  <si>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</si>
  <si>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</si>
  <si>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</si>
  <si>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</si>
  <si>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</si>
  <si>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</si>
  <si>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</si>
  <si>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</si>
  <si>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</si>
  <si>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</si>
  <si>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</si>
  <si>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</si>
  <si>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</si>
  <si>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</si>
  <si>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</si>
  <si>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</si>
  <si>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</si>
  <si>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</si>
  <si>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</si>
  <si>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</si>
  <si>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</si>
  <si>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</si>
  <si>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</si>
  <si>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</si>
  <si>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</si>
  <si>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</si>
  <si>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</si>
  <si>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</si>
  <si>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</si>
  <si>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</si>
  <si>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</si>
  <si>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</si>
  <si>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</si>
  <si>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</si>
  <si>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</si>
  <si>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</si>
  <si>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</si>
  <si>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</si>
  <si>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</si>
  <si>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</si>
  <si>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</si>
  <si>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</si>
  <si>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</si>
  <si>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</si>
  <si>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</si>
  <si>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</si>
  <si>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</si>
  <si>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</si>
  <si>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</si>
  <si>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</si>
  <si>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</si>
  <si>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</si>
  <si>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</si>
  <si>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</si>
  <si>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</si>
  <si>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</si>
  <si>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</si>
  <si>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</si>
  <si>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</si>
  <si>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</si>
  <si>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</si>
  <si>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</si>
  <si>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</si>
  <si>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</si>
  <si>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</si>
  <si>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</si>
  <si>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</si>
  <si>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</si>
  <si>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</si>
  <si>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</si>
  <si>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</si>
  <si>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</si>
  <si>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</si>
  <si>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</si>
  <si>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</si>
  <si>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</si>
  <si>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</si>
  <si>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</si>
  <si>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</si>
  <si>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</si>
  <si>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</si>
  <si>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</si>
  <si>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</si>
  <si>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</si>
  <si>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</si>
  <si>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</si>
  <si>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</si>
  <si>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</si>
  <si>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</si>
  <si>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</si>
  <si>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</si>
  <si>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</si>
  <si>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</si>
  <si>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</si>
  <si>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</si>
  <si>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</si>
  <si>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</si>
  <si>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</si>
  <si>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</si>
  <si>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</si>
  <si>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</si>
  <si>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</si>
  <si>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</si>
  <si>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</si>
  <si>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</si>
  <si>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</si>
  <si>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</si>
  <si>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</si>
  <si>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</si>
  <si>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</si>
  <si>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</si>
  <si>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</si>
  <si>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</si>
  <si>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</si>
  <si>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</si>
  <si>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</si>
  <si>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</si>
  <si>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</si>
  <si>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</si>
  <si>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</si>
  <si>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</si>
  <si>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</si>
  <si>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</si>
  <si>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</si>
  <si>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</si>
  <si>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</si>
  <si>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</si>
  <si>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</si>
  <si>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</si>
  <si>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</si>
  <si>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</si>
  <si>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</si>
  <si>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</si>
  <si>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</si>
  <si>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</si>
  <si>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</si>
  <si>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</si>
  <si>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</si>
  <si>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</si>
  <si>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</si>
  <si>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</si>
  <si>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</si>
  <si>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</si>
  <si>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</si>
  <si>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</si>
  <si>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</si>
  <si>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</si>
  <si>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</si>
  <si>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</si>
  <si>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</si>
  <si>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</si>
  <si>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</si>
  <si>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</si>
  <si>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</si>
  <si>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</si>
  <si>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</si>
  <si>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</si>
  <si>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</si>
  <si>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</si>
  <si>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</si>
  <si>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</si>
  <si>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</si>
  <si>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</si>
  <si>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</si>
  <si>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</si>
  <si>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</si>
  <si>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</si>
  <si>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</si>
  <si>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</si>
  <si>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</si>
  <si>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</si>
  <si>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</si>
  <si>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</si>
  <si>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</si>
  <si>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</si>
  <si>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</si>
  <si>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</si>
  <si>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</si>
  <si>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</si>
  <si>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</si>
  <si>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</si>
  <si>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</si>
  <si>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</si>
  <si>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</si>
  <si>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</si>
  <si>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</si>
  <si>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</si>
  <si>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</si>
  <si>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</si>
  <si>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</si>
  <si>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</si>
  <si>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</si>
  <si>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</si>
  <si>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</si>
  <si>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</si>
  <si>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</si>
  <si>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</si>
  <si>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</si>
  <si>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</si>
  <si>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</si>
  <si>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</si>
  <si>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</si>
  <si>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</si>
  <si>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</si>
  <si>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</si>
  <si>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</si>
  <si>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</si>
  <si>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</si>
  <si>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</si>
  <si>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</si>
  <si>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</si>
  <si>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</si>
  <si>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</si>
  <si>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</si>
  <si>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</si>
  <si>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</si>
  <si>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</si>
  <si>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</si>
  <si>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</si>
  <si>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</si>
  <si>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</si>
  <si>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</si>
  <si>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</si>
  <si>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</si>
  <si>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</si>
  <si>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</si>
  <si>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</si>
  <si>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</si>
  <si>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</si>
  <si>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</si>
  <si>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</si>
  <si>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</si>
  <si>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</si>
  <si>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</si>
  <si>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</si>
  <si>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</si>
  <si>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</si>
  <si>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</si>
  <si>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</si>
  <si>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</si>
  <si>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</si>
  <si>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</si>
  <si>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</si>
  <si>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</si>
  <si>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</si>
  <si>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</si>
  <si>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</si>
  <si>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</si>
  <si>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</si>
  <si>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</si>
  <si>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</si>
  <si>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</si>
  <si>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</si>
  <si>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</si>
  <si>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</si>
  <si>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</si>
  <si>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</si>
  <si>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</si>
  <si>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</si>
  <si>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</si>
  <si>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</si>
  <si>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</si>
  <si>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</si>
  <si>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</si>
  <si>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</si>
  <si>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</si>
  <si>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</si>
  <si>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</si>
  <si>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</si>
  <si>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</si>
  <si>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</si>
  <si>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</si>
  <si>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</si>
  <si>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</si>
  <si>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</si>
  <si>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</si>
  <si>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</si>
  <si>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</si>
  <si>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</si>
  <si>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</si>
  <si>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</si>
  <si>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</si>
  <si>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</si>
  <si>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</si>
  <si>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</si>
  <si>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</si>
  <si>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</si>
  <si>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</si>
  <si>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</si>
  <si>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</si>
  <si>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</si>
  <si>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</si>
  <si>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</si>
  <si>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</si>
  <si>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</si>
  <si>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</si>
  <si>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</si>
  <si>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</si>
  <si>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</si>
  <si>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</si>
  <si>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</si>
  <si>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</si>
  <si>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</si>
  <si>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</si>
  <si>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</si>
  <si>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</si>
  <si>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</si>
  <si>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</si>
  <si>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</si>
  <si>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</si>
  <si>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</si>
  <si>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</si>
  <si>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</si>
  <si>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</si>
  <si>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</si>
  <si>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</si>
  <si>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</si>
  <si>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</si>
  <si>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</si>
  <si>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</si>
  <si>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</si>
  <si>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</si>
  <si>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</si>
  <si>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</si>
  <si>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</si>
  <si>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</si>
  <si>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</si>
  <si>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</si>
  <si>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</si>
  <si>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</si>
  <si>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</si>
  <si>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</si>
  <si>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</si>
  <si>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</si>
  <si>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</si>
  <si>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</si>
  <si>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</si>
  <si>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</si>
  <si>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</si>
  <si>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</si>
  <si>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</si>
  <si>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</si>
  <si>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</si>
  <si>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</si>
  <si>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</si>
  <si>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</si>
  <si>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</si>
  <si>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</si>
  <si>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</si>
  <si>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</si>
  <si>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</si>
  <si>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</si>
  <si>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</si>
  <si>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</si>
  <si>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</si>
  <si>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</si>
  <si>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</si>
  <si>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</si>
  <si>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</si>
  <si>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</si>
  <si>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</si>
  <si>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</si>
  <si>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</si>
  <si>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</si>
  <si>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</si>
  <si>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</si>
  <si>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</si>
  <si>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</si>
  <si>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</si>
  <si>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</si>
  <si>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</si>
  <si>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</si>
  <si>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</si>
  <si>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</si>
  <si>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</si>
  <si>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</si>
  <si>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</si>
  <si>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</si>
  <si>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</si>
  <si>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</si>
  <si>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</si>
  <si>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</si>
  <si>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</si>
  <si>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</si>
  <si>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</si>
  <si>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</si>
  <si>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</si>
  <si>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</si>
  <si>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</si>
  <si>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</si>
  <si>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</si>
  <si>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</si>
  <si>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</si>
  <si>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</si>
  <si>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</si>
  <si>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</si>
  <si>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</si>
  <si>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</si>
  <si>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</si>
  <si>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</si>
  <si>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</si>
  <si>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</si>
  <si>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</si>
  <si>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</si>
  <si>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</si>
  <si>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</si>
  <si>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</si>
  <si>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</si>
  <si>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</si>
  <si>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</si>
  <si>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</si>
  <si>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</si>
  <si>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</si>
  <si>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</si>
  <si>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</si>
  <si>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</si>
  <si>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</si>
  <si>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</si>
  <si>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</si>
  <si>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</si>
  <si>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</si>
  <si>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</si>
  <si>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</si>
  <si>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</si>
  <si>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</si>
  <si>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</si>
  <si>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</si>
  <si>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</si>
  <si>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</si>
  <si>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</si>
  <si>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</si>
  <si>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</si>
  <si>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</si>
  <si>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</si>
  <si>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</si>
  <si>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</si>
  <si>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</si>
  <si>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</si>
  <si>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</si>
  <si>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</si>
  <si>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</si>
  <si>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</si>
  <si>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</si>
  <si>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</si>
  <si>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</si>
  <si>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</si>
  <si>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</si>
  <si>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</si>
  <si>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</si>
  <si>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</si>
  <si>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</si>
  <si>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</si>
  <si>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</si>
  <si>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</si>
  <si>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</si>
  <si>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</si>
  <si>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</si>
  <si>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</si>
  <si>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</si>
  <si>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</si>
  <si>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</si>
  <si>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</si>
  <si>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</si>
  <si>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</si>
  <si>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</si>
  <si>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</si>
  <si>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</si>
  <si>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</si>
  <si>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</si>
  <si>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</si>
  <si>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</si>
  <si>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</si>
  <si>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</si>
  <si>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</si>
  <si>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</si>
  <si>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</si>
  <si>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</si>
  <si>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</si>
  <si>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</si>
  <si>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</si>
  <si>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</si>
  <si>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</si>
  <si>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</si>
  <si>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</si>
  <si>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</si>
  <si>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</si>
  <si>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</si>
  <si>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</si>
  <si>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</si>
  <si>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</si>
  <si>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</si>
  <si>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</si>
  <si>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</si>
  <si>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</si>
  <si>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</si>
  <si>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</si>
  <si>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</si>
  <si>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</si>
  <si>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</si>
  <si>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</si>
  <si>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</si>
  <si>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</si>
  <si>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</si>
  <si>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</si>
  <si>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</si>
  <si>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</si>
  <si>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</si>
  <si>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</si>
  <si>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</si>
  <si>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</si>
  <si>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</si>
  <si>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</si>
  <si>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</si>
  <si>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</si>
  <si>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</si>
  <si>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</si>
  <si>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</si>
  <si>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</si>
  <si>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</si>
  <si>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</si>
  <si>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</si>
  <si>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</si>
  <si>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</si>
  <si>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</si>
  <si>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</si>
  <si>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</si>
  <si>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</si>
  <si>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</si>
  <si>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</si>
  <si>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</si>
  <si>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</si>
  <si>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</si>
  <si>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</si>
  <si>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</si>
  <si>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</si>
  <si>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</si>
  <si>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</si>
  <si>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</si>
  <si>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</si>
  <si>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</si>
  <si>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</si>
  <si>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</si>
  <si>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</si>
  <si>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</si>
  <si>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</si>
  <si>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</si>
  <si>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</si>
  <si>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</si>
  <si>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</si>
  <si>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</si>
  <si>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</si>
  <si>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</si>
  <si>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</si>
  <si>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</si>
  <si>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</si>
  <si>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</si>
  <si>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</si>
  <si>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</si>
  <si>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</si>
  <si>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</si>
  <si>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</si>
  <si>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</si>
  <si>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</si>
  <si>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</si>
  <si>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</si>
  <si>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</si>
  <si>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</si>
  <si>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</si>
  <si>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</si>
  <si>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</si>
  <si>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</si>
  <si>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</si>
  <si>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</si>
  <si>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</si>
  <si>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</si>
  <si>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</si>
  <si>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</si>
  <si>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</si>
  <si>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</si>
  <si>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</si>
  <si>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</si>
  <si>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</si>
  <si>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</si>
  <si>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</si>
  <si>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</si>
  <si>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</si>
  <si>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</si>
  <si>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</si>
  <si>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</si>
  <si>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</si>
  <si>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</si>
  <si>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</si>
  <si>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</si>
  <si>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</si>
  <si>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</si>
  <si>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</si>
  <si>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</si>
  <si>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</si>
  <si>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</si>
  <si>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</si>
  <si>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</si>
  <si>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</si>
  <si>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</si>
  <si>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</si>
  <si>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</si>
  <si>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</si>
  <si>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</si>
  <si>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</si>
  <si>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</si>
  <si>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</si>
  <si>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</si>
  <si>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</si>
  <si>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</si>
  <si>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</si>
  <si>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</si>
  <si>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</si>
  <si>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</si>
  <si>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</si>
  <si>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</si>
  <si>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</si>
  <si>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</si>
  <si>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</si>
  <si>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</si>
  <si>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</si>
  <si>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</si>
  <si>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</si>
  <si>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</si>
  <si>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</si>
  <si>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</si>
  <si>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</si>
  <si>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</si>
  <si>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</si>
  <si>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</si>
  <si>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</si>
  <si>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</si>
  <si>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</si>
  <si>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</si>
  <si>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</si>
  <si>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</si>
  <si>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</si>
  <si>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</si>
  <si>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</si>
  <si>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</si>
  <si>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</si>
  <si>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</si>
  <si>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</si>
  <si>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</si>
  <si>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</si>
  <si>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</si>
  <si>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</si>
  <si>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</si>
  <si>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</si>
  <si>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</si>
  <si>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</si>
  <si>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</si>
  <si>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</si>
  <si>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</si>
  <si>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</si>
  <si>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</si>
  <si>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</si>
  <si>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</si>
  <si>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</si>
  <si>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</si>
  <si>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</si>
  <si>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</si>
  <si>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</si>
  <si>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</si>
  <si>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</si>
  <si>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</si>
  <si>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</si>
  <si>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</si>
  <si>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</si>
  <si>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</si>
  <si>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</si>
  <si>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</si>
  <si>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</si>
  <si>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</si>
  <si>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</si>
  <si>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</si>
  <si>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</si>
  <si>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</si>
  <si>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</si>
  <si>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</si>
  <si>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</si>
  <si>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</si>
  <si>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</si>
  <si>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</si>
  <si>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</si>
  <si>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</si>
  <si>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</si>
  <si>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</si>
  <si>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</si>
  <si>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</si>
  <si>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</si>
  <si>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</si>
  <si>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</si>
  <si>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</si>
  <si>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</si>
  <si>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</si>
  <si>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</si>
  <si>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</si>
  <si>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</si>
  <si>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</si>
  <si>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</si>
  <si>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</si>
  <si>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</si>
  <si>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</si>
  <si>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</si>
  <si>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</si>
  <si>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</si>
  <si>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</si>
  <si>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</si>
  <si>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</si>
  <si>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</si>
  <si>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</si>
  <si>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</si>
  <si>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</si>
  <si>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</si>
  <si>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</si>
  <si>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</si>
  <si>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</si>
  <si>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</si>
  <si>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</si>
  <si>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</si>
  <si>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</si>
  <si>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</si>
  <si>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</si>
  <si>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</si>
  <si>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</si>
  <si>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</si>
  <si>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</si>
  <si>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</si>
  <si>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</si>
  <si>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</si>
  <si>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</si>
  <si>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</si>
  <si>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</si>
  <si>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</si>
  <si>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</si>
  <si>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</si>
  <si>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</si>
  <si>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</si>
  <si>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</si>
  <si>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</si>
  <si>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</si>
  <si>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</si>
  <si>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</si>
  <si>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</si>
  <si>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</si>
  <si>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</si>
  <si>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</si>
  <si>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</si>
  <si>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</si>
  <si>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</si>
  <si>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</si>
  <si>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</si>
  <si>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</si>
  <si>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</si>
  <si>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</si>
  <si>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</si>
  <si>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</si>
  <si>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</si>
  <si>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</si>
  <si>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</si>
  <si>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</si>
  <si>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</si>
  <si>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</si>
  <si>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</si>
  <si>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</si>
  <si>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</si>
  <si>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</si>
  <si>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</si>
  <si>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</si>
  <si>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</si>
  <si>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</si>
  <si>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</si>
  <si>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</si>
  <si>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</si>
  <si>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</si>
  <si>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</si>
  <si>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</si>
  <si>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</si>
  <si>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</si>
  <si>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</si>
  <si>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</si>
  <si>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</si>
  <si>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</si>
  <si>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</si>
  <si>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</si>
  <si>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</si>
  <si>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</si>
  <si>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</si>
  <si>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</si>
  <si>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</si>
  <si>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</si>
  <si>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</si>
  <si>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</si>
  <si>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</si>
  <si>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</si>
  <si>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</si>
  <si>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</si>
  <si>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</si>
  <si>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</si>
  <si>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</si>
  <si>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</si>
  <si>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</si>
  <si>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</si>
  <si>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</si>
  <si>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</si>
  <si>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</si>
  <si>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</si>
  <si>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</si>
  <si>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</si>
  <si>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</si>
  <si>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</si>
  <si>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</si>
  <si>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</si>
  <si>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</si>
  <si>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</si>
  <si>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</si>
  <si>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</si>
  <si>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</si>
  <si>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</si>
  <si>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</si>
  <si>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</si>
  <si>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</si>
  <si>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</si>
  <si>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</si>
  <si>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</si>
  <si>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</si>
  <si>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</si>
  <si>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</si>
  <si>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</si>
  <si>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</si>
  <si>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</si>
  <si>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</si>
  <si>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</si>
  <si>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</si>
  <si>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</si>
  <si>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</si>
  <si>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</si>
  <si>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</si>
  <si>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</si>
  <si>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</si>
  <si>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</si>
  <si>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</si>
  <si>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</si>
  <si>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</si>
  <si>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</si>
  <si>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</si>
  <si>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</si>
  <si>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</si>
  <si>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</si>
  <si>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</si>
  <si>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</si>
  <si>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</si>
  <si>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</si>
  <si>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</si>
  <si>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</si>
  <si>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</si>
  <si>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</si>
  <si>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</si>
  <si>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</si>
  <si>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</si>
  <si>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</si>
  <si>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</si>
  <si>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</si>
  <si>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</si>
  <si>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</si>
  <si>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</si>
  <si>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</si>
  <si>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</si>
  <si>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</si>
  <si>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</si>
  <si>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</si>
  <si>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</si>
  <si>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</si>
  <si>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</si>
  <si>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</si>
  <si>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</si>
  <si>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</si>
  <si>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</si>
  <si>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</si>
  <si>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</si>
  <si>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</si>
  <si>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</si>
  <si>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</si>
  <si>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</si>
  <si>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</si>
  <si>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</si>
  <si>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</si>
  <si>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</si>
  <si>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</si>
  <si>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</si>
  <si>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</si>
  <si>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</si>
  <si>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</si>
  <si>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</si>
  <si>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</si>
  <si>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</si>
  <si>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</si>
  <si>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</si>
  <si>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</si>
  <si>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</si>
  <si>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</si>
  <si>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</si>
  <si>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</si>
  <si>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</si>
  <si>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</si>
  <si>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</si>
  <si>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</si>
  <si>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</si>
  <si>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</si>
  <si>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</si>
  <si>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</si>
  <si>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</si>
  <si>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</si>
  <si>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</si>
  <si>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</si>
  <si>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</si>
  <si>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</si>
  <si>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</si>
  <si>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</si>
  <si>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</si>
  <si>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</si>
  <si>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</si>
  <si>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</si>
  <si>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</si>
  <si>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</si>
  <si>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</si>
  <si>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</si>
  <si>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</si>
  <si>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</si>
  <si>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</si>
  <si>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</si>
  <si>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</si>
  <si>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</si>
  <si>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</si>
  <si>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</si>
  <si>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</si>
  <si>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</si>
  <si>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</si>
  <si>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</si>
  <si>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</si>
  <si>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</si>
  <si>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</si>
  <si>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</si>
  <si>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</si>
  <si>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</si>
  <si>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</si>
  <si>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</si>
  <si>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</si>
  <si>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</si>
  <si>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</si>
  <si>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</si>
  <si>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</si>
  <si>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</si>
  <si>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</si>
  <si>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</si>
  <si>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</si>
  <si>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</si>
  <si>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</si>
  <si>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</si>
  <si>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</si>
  <si>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</si>
  <si>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</si>
  <si>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</si>
  <si>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</si>
  <si>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</si>
  <si>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</si>
  <si>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</si>
  <si>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</si>
  <si>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</si>
  <si>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</si>
  <si>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</si>
  <si>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</si>
  <si>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</si>
  <si>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</si>
  <si>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</si>
  <si>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</si>
  <si>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</si>
  <si>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</si>
  <si>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</si>
  <si>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</si>
  <si>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</si>
  <si>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</si>
  <si>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</si>
  <si>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</si>
  <si>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</si>
  <si>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</si>
  <si>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</si>
  <si>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</si>
  <si>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</si>
  <si>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</si>
  <si>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</si>
  <si>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</si>
  <si>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</si>
  <si>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</si>
  <si>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</si>
  <si>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</si>
  <si>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</si>
  <si>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</si>
  <si>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</si>
  <si>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</si>
  <si>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</si>
  <si>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</si>
  <si>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</si>
  <si>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</si>
  <si>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</si>
  <si>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</si>
  <si>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</si>
  <si>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</si>
  <si>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</si>
  <si>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</si>
  <si>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</si>
  <si>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</si>
  <si>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</si>
  <si>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</si>
  <si>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</si>
  <si>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</si>
  <si>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</si>
  <si>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</si>
  <si>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</si>
  <si>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</si>
  <si>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</si>
  <si>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</si>
  <si>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</si>
  <si>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</si>
  <si>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</si>
  <si>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</si>
  <si>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</si>
  <si>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</si>
  <si>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</si>
  <si>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</si>
  <si>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</si>
  <si>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</si>
  <si>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</si>
  <si>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</si>
  <si>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</si>
  <si>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</si>
  <si>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</si>
  <si>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</si>
  <si>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</si>
  <si>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</si>
  <si>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</si>
  <si>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</si>
  <si>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</si>
  <si>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</si>
  <si>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</si>
  <si>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</si>
  <si>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</si>
  <si>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</si>
  <si>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</si>
  <si>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</si>
  <si>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</si>
  <si>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</si>
  <si>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</si>
  <si>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</si>
  <si>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</si>
  <si>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</si>
  <si>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</si>
  <si>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</si>
  <si>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</si>
  <si>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</si>
  <si>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</si>
  <si>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</si>
  <si>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</si>
  <si>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</si>
  <si>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</si>
  <si>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</si>
  <si>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</si>
  <si>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</si>
  <si>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</si>
  <si>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</si>
  <si>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</si>
  <si>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</si>
  <si>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</si>
  <si>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</si>
  <si>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</si>
  <si>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</si>
  <si>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</si>
  <si>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</si>
  <si>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</si>
  <si>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</si>
  <si>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</si>
  <si>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</si>
  <si>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</si>
  <si>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</si>
  <si>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</si>
  <si>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</si>
  <si>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</si>
  <si>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</si>
  <si>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</si>
  <si>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</si>
  <si>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</si>
  <si>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</si>
  <si>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</si>
  <si>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</si>
  <si>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</si>
  <si>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</si>
  <si>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</si>
  <si>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</si>
  <si>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</si>
  <si>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</si>
  <si>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</si>
  <si>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</si>
  <si>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</si>
  <si>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</si>
  <si>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</si>
  <si>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</si>
  <si>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</si>
  <si>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</si>
  <si>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</si>
  <si>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</si>
  <si>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</si>
  <si>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</si>
  <si>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</si>
  <si>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</si>
  <si>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</si>
  <si>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</si>
  <si>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</si>
  <si>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</si>
  <si>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</si>
  <si>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</si>
  <si>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</si>
  <si>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</si>
  <si>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</si>
  <si>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</si>
  <si>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</si>
  <si>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</si>
  <si>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</si>
  <si>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</si>
  <si>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</si>
  <si>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</si>
  <si>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</si>
  <si>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</si>
  <si>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</si>
  <si>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</si>
  <si>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</si>
  <si>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</si>
  <si>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</si>
  <si>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</si>
  <si>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</si>
  <si>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</si>
  <si>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</si>
  <si>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</si>
  <si>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</si>
  <si>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</si>
  <si>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</si>
  <si>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</si>
  <si>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</si>
  <si>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</si>
  <si>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</si>
  <si>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</si>
  <si>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</si>
  <si>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</si>
  <si>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</si>
  <si>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</si>
  <si>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</si>
  <si>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</si>
  <si>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</si>
  <si>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</si>
  <si>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</si>
  <si>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</si>
  <si>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</si>
  <si>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</si>
  <si>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</si>
  <si>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</si>
  <si>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</si>
  <si>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</si>
  <si>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</si>
  <si>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</si>
  <si>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</si>
  <si>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</si>
  <si>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</si>
  <si>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</si>
  <si>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</si>
  <si>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</si>
  <si>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</si>
  <si>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</si>
  <si>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</si>
  <si>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</si>
  <si>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</si>
  <si>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</si>
  <si>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</si>
  <si>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</si>
  <si>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</si>
  <si>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</si>
  <si>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</si>
  <si>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</si>
  <si>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</si>
  <si>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</si>
  <si>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</si>
  <si>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</si>
  <si>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</si>
  <si>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</si>
  <si>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</si>
  <si>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</si>
  <si>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</si>
  <si>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</si>
  <si>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</si>
  <si>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</si>
  <si>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</si>
  <si>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</si>
  <si>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</si>
  <si>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</si>
  <si>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</si>
  <si>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</si>
  <si>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</si>
  <si>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</si>
  <si>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</si>
  <si>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</si>
  <si>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</si>
  <si>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</si>
  <si>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</si>
  <si>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</si>
  <si>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</si>
  <si>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</si>
  <si>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</si>
  <si>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</si>
  <si>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</si>
  <si>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</si>
  <si>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</si>
  <si>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</si>
  <si>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</si>
  <si>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</si>
  <si>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</si>
  <si>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</si>
  <si>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</si>
  <si>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</si>
  <si>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</si>
  <si>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</si>
  <si>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</si>
  <si>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</si>
  <si>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</si>
  <si>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</si>
  <si>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</si>
  <si>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</si>
  <si>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</si>
  <si>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</si>
  <si>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</si>
  <si>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</si>
  <si>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</si>
  <si>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</si>
  <si>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</si>
  <si>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</si>
  <si>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</si>
  <si>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</si>
  <si>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</si>
  <si>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</si>
  <si>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</si>
  <si>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</si>
  <si>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</si>
  <si>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</si>
  <si>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</si>
  <si>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</si>
  <si>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</si>
  <si>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</si>
  <si>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</si>
  <si>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</si>
  <si>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</si>
  <si>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</si>
  <si>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</si>
  <si>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</si>
  <si>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</si>
  <si>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</si>
  <si>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</si>
  <si>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</si>
  <si>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</si>
  <si>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</si>
  <si>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</si>
  <si>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</si>
  <si>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</si>
  <si>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</si>
  <si>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</si>
  <si>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</si>
  <si>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</si>
  <si>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</si>
  <si>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</si>
  <si>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</si>
  <si>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</si>
  <si>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</si>
  <si>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</si>
  <si>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</si>
  <si>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</si>
  <si>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</si>
  <si>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</si>
  <si>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</si>
  <si>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</si>
  <si>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</si>
  <si>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</si>
  <si>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</si>
  <si>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</si>
  <si>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</si>
  <si>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</si>
  <si>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</si>
  <si>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</si>
  <si>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</si>
  <si>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</si>
  <si>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</si>
  <si>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</si>
  <si>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</si>
  <si>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</si>
  <si>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</si>
  <si>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</si>
  <si>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</si>
  <si>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</si>
  <si>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</si>
  <si>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</si>
  <si>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</si>
  <si>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</si>
  <si>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</si>
  <si>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</si>
  <si>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</si>
  <si>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</si>
  <si>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</si>
  <si>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</si>
  <si>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</si>
  <si>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</si>
  <si>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</si>
  <si>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</si>
  <si>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</si>
  <si>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</si>
  <si>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</si>
  <si>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</si>
  <si>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</si>
  <si>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</si>
  <si>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</si>
  <si>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</si>
  <si>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</si>
  <si>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</si>
  <si>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</si>
  <si>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</si>
  <si>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</si>
  <si>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</si>
  <si>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</si>
  <si>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</si>
  <si>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</si>
  <si>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</si>
  <si>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</si>
  <si>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</si>
  <si>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</si>
  <si>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</si>
  <si>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</si>
  <si>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</si>
  <si>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</si>
  <si>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</si>
  <si>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</si>
  <si>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</si>
  <si>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</si>
  <si>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</si>
  <si>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</si>
  <si>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</si>
  <si>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</si>
  <si>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</si>
  <si>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</si>
  <si>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</si>
  <si>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</si>
  <si>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</si>
  <si>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</si>
  <si>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</si>
  <si>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</si>
  <si>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</si>
  <si>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</si>
  <si>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</si>
  <si>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</si>
  <si>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</si>
  <si>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</si>
  <si>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</si>
  <si>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</si>
  <si>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</si>
  <si>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</si>
  <si>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</si>
  <si>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</si>
  <si>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</si>
  <si>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</si>
  <si>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</si>
  <si>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</si>
  <si>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</si>
  <si>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</si>
  <si>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</si>
  <si>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</si>
  <si>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</si>
  <si>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</si>
  <si>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</si>
  <si>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</si>
  <si>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</si>
  <si>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</si>
  <si>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</si>
  <si>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</si>
  <si>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</si>
  <si>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</si>
  <si>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</si>
  <si>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</si>
  <si>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</si>
  <si>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</si>
  <si>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</si>
  <si>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</si>
  <si>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</si>
  <si>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</si>
  <si>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</si>
  <si>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</si>
  <si>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</si>
  <si>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</si>
  <si>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</si>
  <si>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</si>
  <si>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</si>
  <si>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</si>
  <si>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</si>
  <si>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</si>
  <si>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</si>
  <si>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</si>
  <si>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</si>
  <si>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</si>
  <si>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</si>
  <si>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</si>
  <si>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</si>
  <si>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</si>
  <si>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</si>
  <si>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</si>
  <si>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</si>
  <si>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</si>
  <si>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</si>
  <si>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</si>
  <si>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</si>
  <si>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</si>
  <si>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</si>
  <si>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</si>
  <si>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</si>
  <si>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</si>
  <si>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</si>
  <si>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</si>
  <si>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</si>
  <si>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</si>
  <si>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</si>
  <si>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</si>
  <si>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</si>
  <si>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</si>
  <si>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</si>
  <si>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</si>
  <si>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</si>
  <si>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</si>
  <si>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</si>
  <si>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</si>
  <si>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</si>
  <si>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</si>
  <si>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</si>
  <si>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</si>
  <si>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</si>
  <si>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</si>
  <si>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</si>
  <si>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</si>
  <si>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</si>
  <si>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</si>
  <si>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</si>
  <si>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</si>
  <si>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</si>
  <si>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</si>
  <si>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</si>
  <si>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</si>
  <si>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</si>
  <si>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</si>
  <si>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</si>
  <si>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</si>
  <si>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</si>
  <si>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</si>
  <si>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</si>
  <si>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</si>
  <si>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</si>
  <si>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</si>
  <si>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</si>
  <si>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</si>
  <si>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</si>
  <si>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</si>
  <si>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</si>
  <si>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</si>
  <si>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</si>
  <si>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</si>
  <si>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</si>
  <si>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</si>
  <si>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</si>
  <si>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</si>
  <si>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</si>
  <si>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</si>
  <si>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</si>
  <si>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</si>
  <si>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</si>
  <si>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</si>
  <si>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</si>
  <si>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</si>
  <si>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</si>
  <si>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</si>
  <si>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</si>
  <si>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</si>
  <si>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</si>
  <si>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</si>
  <si>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</si>
  <si>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</si>
  <si>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</si>
  <si>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</si>
  <si>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</si>
  <si>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</si>
  <si>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</si>
  <si>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</si>
  <si>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</si>
  <si>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</si>
  <si>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</si>
  <si>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</si>
  <si>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</si>
  <si>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</si>
  <si>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</si>
  <si>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</si>
  <si>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</si>
  <si>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</si>
  <si>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</si>
  <si>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</si>
  <si>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</si>
  <si>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</si>
  <si>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</si>
  <si>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</si>
  <si>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</si>
  <si>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</si>
  <si>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</si>
  <si>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</si>
  <si>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</si>
  <si>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</si>
  <si>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</si>
  <si>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</si>
  <si>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</si>
  <si>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</si>
  <si>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</si>
  <si>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</si>
  <si>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</si>
  <si>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</si>
  <si>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</si>
  <si>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</si>
  <si>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</si>
  <si>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</si>
  <si>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</si>
  <si>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</si>
  <si>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</si>
  <si>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</si>
  <si>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</si>
  <si>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</si>
  <si>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</si>
  <si>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</si>
  <si>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</si>
  <si>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</si>
  <si>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</si>
  <si>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</si>
  <si>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</si>
  <si>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</si>
  <si>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</si>
  <si>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</si>
  <si>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</si>
  <si>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</si>
  <si>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</si>
  <si>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</si>
  <si>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</si>
  <si>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</si>
  <si>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</si>
  <si>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</si>
  <si>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</si>
  <si>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</si>
  <si>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</si>
  <si>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</si>
  <si>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</si>
  <si>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</si>
  <si>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</si>
  <si>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</si>
  <si>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</si>
  <si>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</si>
  <si>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</si>
  <si>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</si>
  <si>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</si>
  <si>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</si>
  <si>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</si>
  <si>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</si>
  <si>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</si>
  <si>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</si>
  <si>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</si>
  <si>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</si>
  <si>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</si>
  <si>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</si>
  <si>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</si>
  <si>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</si>
  <si>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</si>
  <si>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</si>
  <si>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</si>
  <si>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</si>
  <si>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</si>
  <si>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</si>
  <si>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</si>
  <si>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</si>
  <si>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</si>
  <si>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</si>
  <si>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</si>
  <si>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</si>
  <si>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</si>
  <si>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</si>
  <si>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</si>
  <si>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</si>
  <si>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</si>
  <si>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</si>
  <si>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</si>
  <si>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</si>
  <si>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</si>
  <si>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</si>
  <si>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</si>
  <si>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</si>
  <si>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</si>
  <si>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</si>
  <si>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</si>
  <si>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</si>
  <si>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</si>
  <si>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</si>
  <si>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</si>
  <si>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</si>
  <si>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</si>
  <si>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</si>
  <si>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</si>
  <si>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</si>
  <si>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</si>
  <si>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</si>
  <si>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</si>
  <si>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</si>
  <si>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</si>
  <si>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</si>
  <si>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</si>
  <si>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</si>
  <si>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</si>
  <si>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</si>
  <si>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</si>
  <si>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</si>
  <si>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</si>
  <si>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</si>
  <si>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</si>
  <si>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</si>
  <si>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</si>
  <si>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</si>
  <si>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</si>
  <si>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</si>
  <si>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</si>
  <si>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</si>
  <si>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</si>
  <si>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</si>
  <si>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</si>
  <si>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</si>
  <si>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</si>
  <si>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</si>
  <si>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</si>
  <si>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</si>
  <si>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</si>
  <si>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</si>
  <si>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</si>
  <si>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</si>
  <si>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</si>
  <si>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</si>
  <si>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</si>
  <si>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</si>
  <si>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</si>
  <si>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</si>
  <si>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</si>
  <si>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</si>
  <si>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</si>
  <si>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</si>
  <si>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</si>
  <si>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</si>
  <si>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</si>
  <si>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</si>
  <si>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</si>
  <si>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</si>
  <si>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</si>
  <si>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</si>
  <si>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</si>
  <si>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</si>
  <si>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</si>
  <si>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</si>
  <si>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</si>
  <si>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</si>
  <si>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</si>
  <si>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</si>
  <si>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</si>
  <si>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</si>
  <si>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</si>
  <si>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</si>
  <si>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</si>
  <si>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</si>
  <si>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</si>
  <si>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</si>
  <si>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</si>
  <si>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</si>
  <si>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</si>
  <si>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</si>
  <si>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</si>
  <si>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</si>
  <si>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</si>
  <si>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</si>
  <si>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</si>
  <si>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</si>
  <si>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</si>
  <si>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</si>
  <si>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</si>
  <si>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</si>
  <si>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</si>
  <si>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</si>
  <si>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</si>
  <si>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</si>
  <si>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</si>
  <si>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</si>
  <si>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</si>
  <si>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</si>
  <si>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</si>
  <si>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</si>
  <si>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</si>
  <si>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</si>
  <si>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</si>
  <si>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</si>
  <si>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</si>
  <si>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</si>
  <si>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</si>
  <si>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</si>
  <si>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</si>
  <si>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</si>
  <si>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</si>
  <si>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</si>
  <si>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</si>
  <si>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</si>
  <si>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</si>
  <si>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</si>
  <si>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</si>
  <si>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</si>
  <si>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</si>
  <si>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</si>
  <si>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</si>
  <si>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</si>
  <si>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</si>
  <si>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</si>
  <si>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</si>
  <si>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</si>
  <si>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</si>
  <si>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</si>
  <si>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</si>
  <si>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</si>
  <si>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</si>
  <si>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</si>
  <si>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</si>
  <si>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</si>
  <si>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</si>
  <si>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</si>
  <si>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</si>
  <si>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</si>
  <si>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from 1-2</t>
  </si>
  <si>
    <t>Fabril Solutions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</si>
</sst>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2618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2619</v>
      </c>
      <c r="AA2" s="2" t="s">
        <v>2622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2620</v>
      </c>
      <c r="AA3" s="2" t="s">
        <v>2623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2624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2625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2626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2627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2628</v>
      </c>
    </row>
    <row r="9" spans="1:27" x14ac:dyDescent="0.25">
      <c r="A9" s="3" t="s">
        <v>1262</v>
      </c>
      <c r="F9" s="1"/>
      <c r="H9" s="3" t="s">
        <v>2378</v>
      </c>
      <c r="AA9" s="2" t="s">
        <v>2629</v>
      </c>
    </row>
    <row r="10" spans="1:27" x14ac:dyDescent="0.25">
      <c r="A10" s="3" t="s">
        <v>1263</v>
      </c>
      <c r="F10" s="1"/>
      <c r="H10" s="3" t="s">
        <v>2379</v>
      </c>
      <c r="AA10" s="2" t="s">
        <v>2630</v>
      </c>
    </row>
    <row r="11" spans="1:27" x14ac:dyDescent="0.25">
      <c r="A11" s="3" t="s">
        <v>1264</v>
      </c>
      <c r="F11" s="1"/>
      <c r="H11" s="3" t="s">
        <v>2380</v>
      </c>
      <c r="AA11" s="2" t="s">
        <v>2631</v>
      </c>
    </row>
    <row r="12" spans="1:27" x14ac:dyDescent="0.25">
      <c r="A12" s="3" t="s">
        <v>1265</v>
      </c>
      <c r="F12" s="1"/>
      <c r="H12" s="3" t="s">
        <v>2381</v>
      </c>
      <c r="AA12" s="2" t="s">
        <v>2632</v>
      </c>
    </row>
    <row r="13" spans="1:27" x14ac:dyDescent="0.25">
      <c r="A13" s="3" t="s">
        <v>1267</v>
      </c>
      <c r="F13" s="1"/>
      <c r="H13" s="3" t="s">
        <v>2382</v>
      </c>
      <c r="AA13" s="2" t="s">
        <v>2633</v>
      </c>
    </row>
    <row r="14" spans="1:27" x14ac:dyDescent="0.25">
      <c r="A14" s="3" t="s">
        <v>1268</v>
      </c>
      <c r="F14" s="1"/>
      <c r="H14" s="3" t="s">
        <v>2383</v>
      </c>
      <c r="AA14" s="2" t="s">
        <v>2634</v>
      </c>
    </row>
    <row r="15" spans="1:27" x14ac:dyDescent="0.25">
      <c r="A15" s="3" t="s">
        <v>1269</v>
      </c>
      <c r="F15" s="1"/>
      <c r="H15" s="3" t="s">
        <v>2384</v>
      </c>
      <c r="AA15" s="2" t="s">
        <v>2635</v>
      </c>
    </row>
    <row r="16" spans="1:27" x14ac:dyDescent="0.25">
      <c r="A16" s="3" t="s">
        <v>1270</v>
      </c>
      <c r="F16" s="1"/>
      <c r="H16" s="3" t="s">
        <v>2385</v>
      </c>
      <c r="AA16" s="2" t="s">
        <v>2636</v>
      </c>
    </row>
    <row r="17" spans="1:27" x14ac:dyDescent="0.25">
      <c r="A17" s="3" t="s">
        <v>1271</v>
      </c>
      <c r="F17" s="1"/>
      <c r="H17" s="3" t="s">
        <v>2386</v>
      </c>
      <c r="AA17" s="2" t="s">
        <v>2637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2631</v>
      </c>
      <c r="B176" s="41" t="s">
        <v>2639</v>
      </c>
      <c r="C176" s="42" t="s">
        <v>2640</v>
      </c>
      <c r="D176" s="43">
        <v>12.56</v>
      </c>
    </row>
    <row r="177" spans="1:4" x14ac:dyDescent="0.25">
      <c r="A177" s="44" t="s">
        <v>2632</v>
      </c>
      <c r="B177" s="34" t="s">
        <v>2641</v>
      </c>
      <c r="C177" s="36" t="s">
        <v>2640</v>
      </c>
      <c r="D177" s="45">
        <v>12.57</v>
      </c>
    </row>
    <row r="178" spans="1:4" x14ac:dyDescent="0.25">
      <c r="A178" s="44" t="s">
        <v>2633</v>
      </c>
      <c r="B178" s="34" t="s">
        <v>2642</v>
      </c>
      <c r="C178" s="36" t="s">
        <v>2640</v>
      </c>
      <c r="D178" s="45">
        <v>11993</v>
      </c>
    </row>
    <row r="179" spans="1:4" x14ac:dyDescent="0.25">
      <c r="A179" s="44" t="s">
        <v>2624</v>
      </c>
      <c r="B179" s="34" t="s">
        <v>2643</v>
      </c>
      <c r="C179" s="36" t="s">
        <v>2647</v>
      </c>
      <c r="D179" s="45">
        <v>1</v>
      </c>
    </row>
    <row r="180" spans="1:4" x14ac:dyDescent="0.25">
      <c r="A180" s="44" t="s">
        <v>2623</v>
      </c>
      <c r="B180" s="34" t="s">
        <v>2644</v>
      </c>
      <c r="C180" s="36" t="s">
        <v>2647</v>
      </c>
      <c r="D180" s="45">
        <v>1</v>
      </c>
    </row>
    <row r="181" spans="1:4" ht="15.75" thickBot="1" x14ac:dyDescent="0.3">
      <c r="A181" s="46" t="s">
        <v>2622</v>
      </c>
      <c r="B181" s="47" t="s">
        <v>2645</v>
      </c>
      <c r="C181" s="48" t="s">
        <v>2647</v>
      </c>
      <c r="D181" s="49">
        <v>1</v>
      </c>
    </row>
    <row r="182" spans="1:4" x14ac:dyDescent="0.25">
      <c r="A182" s="40" t="s">
        <v>2634</v>
      </c>
      <c r="B182" s="41" t="s">
        <v>2646</v>
      </c>
      <c r="C182" s="42" t="s">
        <v>2640</v>
      </c>
      <c r="D182" s="43">
        <v>12.57</v>
      </c>
    </row>
    <row r="183" spans="1:4" x14ac:dyDescent="0.25">
      <c r="A183" s="44" t="s">
        <v>2635</v>
      </c>
      <c r="B183" s="34" t="s">
        <v>2642</v>
      </c>
      <c r="C183" s="36" t="s">
        <v>2640</v>
      </c>
      <c r="D183" s="45">
        <v>11.93</v>
      </c>
    </row>
    <row r="184" spans="1:4" x14ac:dyDescent="0.25">
      <c r="A184" s="44" t="s">
        <v>2627</v>
      </c>
      <c r="B184" s="34" t="s">
        <v>2643</v>
      </c>
      <c r="C184" s="36" t="s">
        <v>2647</v>
      </c>
      <c r="D184" s="45">
        <v>1</v>
      </c>
    </row>
    <row r="185" spans="1:4" x14ac:dyDescent="0.25">
      <c r="A185" s="44" t="s">
        <v>2626</v>
      </c>
      <c r="B185" s="34" t="s">
        <v>2644</v>
      </c>
      <c r="C185" s="36" t="s">
        <v>2647</v>
      </c>
      <c r="D185" s="45">
        <v>1</v>
      </c>
    </row>
    <row r="186" spans="1:4" ht="15.75" thickBot="1" x14ac:dyDescent="0.3">
      <c r="A186" s="46" t="s">
        <v>2625</v>
      </c>
      <c r="B186" s="47" t="s">
        <v>2645</v>
      </c>
      <c r="C186" s="48" t="s">
        <v>2647</v>
      </c>
      <c r="D186" s="49">
        <v>1</v>
      </c>
    </row>
    <row r="187" spans="1:4" x14ac:dyDescent="0.25">
      <c r="A187" s="40" t="s">
        <v>2636</v>
      </c>
      <c r="B187" s="41" t="s">
        <v>2646</v>
      </c>
      <c r="C187" s="42" t="s">
        <v>2640</v>
      </c>
      <c r="D187" s="43">
        <v>12.57</v>
      </c>
    </row>
    <row r="188" spans="1:4" x14ac:dyDescent="0.25">
      <c r="A188" s="44" t="s">
        <v>2637</v>
      </c>
      <c r="B188" s="34" t="s">
        <v>2642</v>
      </c>
      <c r="C188" s="34" t="s">
        <v>2640</v>
      </c>
      <c r="D188" s="45">
        <v>11.93</v>
      </c>
    </row>
    <row r="189" spans="1:4" x14ac:dyDescent="0.25">
      <c r="A189" s="44" t="s">
        <v>2630</v>
      </c>
      <c r="B189" s="34" t="s">
        <v>2643</v>
      </c>
      <c r="C189" s="34" t="s">
        <v>2647</v>
      </c>
      <c r="D189" s="45">
        <v>1</v>
      </c>
    </row>
    <row r="190" spans="1:4" x14ac:dyDescent="0.25">
      <c r="A190" s="44" t="s">
        <v>2629</v>
      </c>
      <c r="B190" s="34" t="s">
        <v>2644</v>
      </c>
      <c r="C190" s="34" t="s">
        <v>2647</v>
      </c>
      <c r="D190" s="45">
        <v>1</v>
      </c>
    </row>
    <row r="191" spans="1:4" ht="15.75" thickBot="1" x14ac:dyDescent="0.3">
      <c r="A191" s="46" t="s">
        <v>2628</v>
      </c>
      <c r="B191" s="47" t="s">
        <v>2645</v>
      </c>
      <c r="C191" s="47" t="s">
        <v>2647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33"/>
  <sheetViews>
    <sheetView tabSelected="1" topLeftCell="A10" zoomScale="115" zoomScaleNormal="115" workbookViewId="0">
      <pane xSplit="2" ySplit="5" topLeftCell="C15" activePane="bottomRight" state="frozen"/>
      <selection activeCell="A10" sqref="A10"/>
      <selection pane="topRight" activeCell="C10" sqref="C10"/>
      <selection pane="bottomLeft" activeCell="A15" sqref="A15"/>
      <selection pane="bottomRight" activeCell="B22" sqref="B22:G29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2621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2638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 t="s">
        <v>2680</v>
      </c>
      <c r="C10" s="80"/>
      <c r="D10" s="80"/>
      <c r="E10" s="80"/>
      <c r="F10" s="80"/>
      <c r="G10" s="81"/>
    </row>
    <row r="11" spans="1:9" ht="31.9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107.25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15" t="s">
        <v>1359</v>
      </c>
      <c r="B15" s="7" t="str">
        <f>IFERROR(INDEX('Code Description&amp;Unit (Hidden)'!$B:$B,MATCH('Variation Form (Cost)'!A15,'Code Description&amp;Unit (Hidden)'!$A:$A,0)),"")</f>
        <v>Code NGA-D01 - Inside Boundary Trenching - Base Rate</v>
      </c>
      <c r="C15" s="7" t="str">
        <f>IFERROR(INDEX('Code Description&amp;Unit (Hidden)'!$C:$C,MATCH('Variation Form (Cost)'!A15,'Code Description&amp;Unit (Hidden)'!$A:$A,0)),"")</f>
        <v>each</v>
      </c>
      <c r="D15" s="29" t="s">
        <v>2679</v>
      </c>
      <c r="E15" s="11">
        <v>1.1000000000000001</v>
      </c>
      <c r="F15" s="12">
        <f>IFERROR(VLOOKUP(A15,'Code Description&amp;Unit (Hidden)'!A:D,4,FALSE),"")</f>
        <v>21.97</v>
      </c>
      <c r="G15" s="16">
        <f t="shared" ref="G15:G26" si="0">IFERROR(F15*E15,"")</f>
        <v>24.167000000000002</v>
      </c>
      <c r="I15" s="10" t="e">
        <f>A15&amp;$E$8&amp;#REF!</f>
        <v>#REF!</v>
      </c>
    </row>
    <row r="16" spans="1:9" s="10" customFormat="1" ht="28.9" customHeight="1" x14ac:dyDescent="0.25">
      <c r="A16" s="15" t="s">
        <v>1359</v>
      </c>
      <c r="B16" s="7" t="str">
        <f>IFERROR(INDEX('Code Description&amp;Unit (Hidden)'!$B:$B,MATCH('Variation Form (Cost)'!A16,'Code Description&amp;Unit (Hidden)'!$A:$A,0)),"")</f>
        <v>Code NGA-D01 - Inside Boundary Trenching - Base Rate</v>
      </c>
      <c r="C16" s="7" t="str">
        <f>IFERROR(INDEX('Code Description&amp;Unit (Hidden)'!$C:$C,MATCH('Variation Form (Cost)'!A16,'Code Description&amp;Unit (Hidden)'!$A:$A,0)),"")</f>
        <v>each</v>
      </c>
      <c r="D16" s="29" t="s">
        <v>2679</v>
      </c>
      <c r="E16" s="11">
        <v>-5.8</v>
      </c>
      <c r="F16" s="12">
        <f>IFERROR(VLOOKUP(A16,'Code Description&amp;Unit (Hidden)'!A:D,4,FALSE),"")</f>
        <v>21.97</v>
      </c>
      <c r="G16" s="16">
        <f t="shared" si="0"/>
        <v>-127.42599999999999</v>
      </c>
      <c r="I16" s="10" t="e">
        <f>A16&amp;$E$8&amp;#REF!</f>
        <v>#REF!</v>
      </c>
    </row>
    <row r="17" spans="1:9" s="10" customFormat="1" ht="28.9" customHeight="1" x14ac:dyDescent="0.25">
      <c r="A17" s="15" t="s">
        <v>1361</v>
      </c>
      <c r="B17" s="7" t="str">
        <f>IFERROR(INDEX('Code Description&amp;Unit (Hidden)'!$B:$B,MATCH('Variation Form (Cost)'!A17,'Code Description&amp;Unit (Hidden)'!$A:$A,0)),"")</f>
        <v>Code NGA-D03 - Inside Boundary Trenching - Slot Trenching – Hard Surface</v>
      </c>
      <c r="C17" s="7" t="str">
        <f>IFERROR(INDEX('Code Description&amp;Unit (Hidden)'!$C:$C,MATCH('Variation Form (Cost)'!A17,'Code Description&amp;Unit (Hidden)'!$A:$A,0)),"")</f>
        <v>each</v>
      </c>
      <c r="D17" s="29" t="s">
        <v>2679</v>
      </c>
      <c r="E17" s="28">
        <v>-1.1000000000000001</v>
      </c>
      <c r="F17" s="12">
        <f>IFERROR(VLOOKUP(A17,'Code Description&amp;Unit (Hidden)'!A:D,4,FALSE),"")</f>
        <v>42.59</v>
      </c>
      <c r="G17" s="16">
        <f t="shared" si="0"/>
        <v>-46.849000000000011</v>
      </c>
    </row>
    <row r="18" spans="1:9" s="10" customFormat="1" ht="28.9" customHeight="1" x14ac:dyDescent="0.25">
      <c r="A18" s="15" t="s">
        <v>1365</v>
      </c>
      <c r="B18" s="7" t="str">
        <f>IFERROR(INDEX('Code Description&amp;Unit (Hidden)'!$B:$B,MATCH('Variation Form (Cost)'!A18,'Code Description&amp;Unit (Hidden)'!$A:$A,0)),"")</f>
        <v>Code NGA-G03 – Inside Boundary Reinstatement - Concrete Aggregate</v>
      </c>
      <c r="C18" s="7" t="str">
        <f>IFERROR(INDEX('Code Description&amp;Unit (Hidden)'!$C:$C,MATCH('Variation Form (Cost)'!A18,'Code Description&amp;Unit (Hidden)'!$A:$A,0)),"")</f>
        <v>each</v>
      </c>
      <c r="D18" s="29" t="s">
        <v>2679</v>
      </c>
      <c r="E18" s="28">
        <v>-1.74</v>
      </c>
      <c r="F18" s="12">
        <f>IFERROR(VLOOKUP(A18,'Code Description&amp;Unit (Hidden)'!A:D,4,FALSE),"")</f>
        <v>136.04</v>
      </c>
      <c r="G18" s="16">
        <f t="shared" ref="G18" si="1">IFERROR(F18*E18,"")</f>
        <v>-236.70959999999999</v>
      </c>
    </row>
    <row r="19" spans="1:9" s="10" customFormat="1" ht="28.9" customHeight="1" x14ac:dyDescent="0.25">
      <c r="A19" s="15" t="s">
        <v>1278</v>
      </c>
      <c r="B19" s="7" t="str">
        <f>IFERROR(INDEX('Code Description&amp;Unit (Hidden)'!$B:$B,MATCH('Variation Form (Cost)'!A19,'Code Description&amp;Unit (Hidden)'!$A:$A,0)),"")</f>
        <v>Code NGA-733 Install Surface Mounted Service Conduit</v>
      </c>
      <c r="C19" s="7" t="str">
        <f>IFERROR(INDEX('Code Description&amp;Unit (Hidden)'!$C:$C,MATCH('Variation Form (Cost)'!A19,'Code Description&amp;Unit (Hidden)'!$A:$A,0)),"")</f>
        <v>each</v>
      </c>
      <c r="D19" s="29" t="s">
        <v>2679</v>
      </c>
      <c r="E19" s="28">
        <v>-8.4</v>
      </c>
      <c r="F19" s="12">
        <f>IFERROR(VLOOKUP(A19,'Code Description&amp;Unit (Hidden)'!A:D,4,FALSE),"")</f>
        <v>5.75</v>
      </c>
      <c r="G19" s="16">
        <f t="shared" ref="G19" si="2">IFERROR(F19*E19,"")</f>
        <v>-48.300000000000004</v>
      </c>
    </row>
    <row r="20" spans="1:9" s="10" customFormat="1" ht="28.9" customHeight="1" x14ac:dyDescent="0.25">
      <c r="A20" s="15"/>
      <c r="B20" s="7"/>
      <c r="C20" s="7"/>
      <c r="D20" s="29"/>
      <c r="E20" s="28"/>
      <c r="F20" s="12"/>
      <c r="G20" s="16"/>
    </row>
    <row r="21" spans="1:9" s="10" customFormat="1" ht="15.75" thickBot="1" x14ac:dyDescent="0.3">
      <c r="A21" s="82" t="s">
        <v>2616</v>
      </c>
      <c r="B21" s="83"/>
      <c r="C21" s="83"/>
      <c r="D21" s="83"/>
      <c r="E21" s="83"/>
      <c r="F21" s="83"/>
      <c r="G21" s="83"/>
    </row>
    <row r="22" spans="1:9" s="10" customFormat="1" ht="28.9" customHeight="1" x14ac:dyDescent="0.25">
      <c r="A22" s="15" t="s">
        <v>2365</v>
      </c>
      <c r="B22" s="7"/>
      <c r="C22" s="7" t="str">
        <f>IFERROR(INDEX('Code Description&amp;Unit (Hidden)'!$C:$C,MATCH('Variation Form (Cost)'!A22,'Code Description&amp;Unit (Hidden)'!$A:$A,0)),"")</f>
        <v/>
      </c>
      <c r="D22" s="29" t="s">
        <v>2618</v>
      </c>
      <c r="E22" s="28"/>
      <c r="F22" s="12" t="str">
        <f>IFERROR(VLOOKUP(A22,'Code Description&amp;Unit (Hidden)'!A:D,4,FALSE),"")</f>
        <v/>
      </c>
      <c r="G22" s="16" t="str">
        <f t="shared" si="0"/>
        <v/>
      </c>
    </row>
    <row r="23" spans="1:9" s="10" customFormat="1" ht="28.9" customHeight="1" x14ac:dyDescent="0.25">
      <c r="A23" s="15" t="s">
        <v>2365</v>
      </c>
      <c r="B23" s="7" t="str">
        <f>IFERROR(INDEX('Code Description&amp;Unit (Hidden)'!$B:$B,MATCH('Variation Form (Cost)'!A23,'Code Description&amp;Unit (Hidden)'!$A:$A,0)),"")</f>
        <v/>
      </c>
      <c r="C23" s="7" t="str">
        <f>IFERROR(INDEX('Code Description&amp;Unit (Hidden)'!$C:$C,MATCH('Variation Form (Cost)'!A23,'Code Description&amp;Unit (Hidden)'!$A:$A,0)),"")</f>
        <v/>
      </c>
      <c r="D23" s="29" t="s">
        <v>2618</v>
      </c>
      <c r="E23" s="11"/>
      <c r="F23" s="12" t="str">
        <f>IFERROR(VLOOKUP(A23,'Code Description&amp;Unit (Hidden)'!A:D,4,FALSE),"")</f>
        <v/>
      </c>
      <c r="G23" s="16" t="str">
        <f t="shared" si="0"/>
        <v/>
      </c>
      <c r="I23" s="10" t="e">
        <f>A23&amp;$E$8&amp;#REF!</f>
        <v>#REF!</v>
      </c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2618</v>
      </c>
      <c r="E24" s="11"/>
      <c r="F24" s="12" t="str">
        <f>IFERROR(VLOOKUP(A24,'Code Description&amp;Unit (Hidden)'!A:D,4,FALSE),"")</f>
        <v/>
      </c>
      <c r="G24" s="16" t="str">
        <f t="shared" si="0"/>
        <v/>
      </c>
      <c r="I24" s="10" t="e">
        <f>A24&amp;$E$8&amp;#REF!</f>
        <v>#REF!</v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2618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2618</v>
      </c>
      <c r="E26" s="17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17"/>
      <c r="F27" s="12" t="str">
        <f>IFERROR(VLOOKUP(A27,'Code Description&amp;Unit (Hidden)'!A:D,4,FALSE),"")</f>
        <v/>
      </c>
      <c r="G27" s="16" t="str">
        <f t="shared" ref="G27" si="3">IFERROR(F27*E27,"")</f>
        <v/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2618</v>
      </c>
      <c r="E28" s="17"/>
      <c r="F28" s="12" t="str">
        <f>IFERROR(VLOOKUP(A28,'Code Description&amp;Unit (Hidden)'!A:D,4,FALSE),"")</f>
        <v/>
      </c>
      <c r="G28" s="16" t="str">
        <f t="shared" ref="G28:G29" si="4">IFERROR(F28*E28,"")</f>
        <v/>
      </c>
    </row>
    <row r="29" spans="1:9" s="10" customFormat="1" ht="28.9" customHeight="1" thickBot="1" x14ac:dyDescent="0.3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17"/>
      <c r="F29" s="12" t="str">
        <f>IFERROR(VLOOKUP(A29,'Code Description&amp;Unit (Hidden)'!A:D,4,FALSE),"")</f>
        <v/>
      </c>
      <c r="G29" s="16" t="str">
        <f t="shared" si="4"/>
        <v/>
      </c>
    </row>
    <row r="30" spans="1:9" s="10" customFormat="1" ht="28.9" customHeight="1" thickBot="1" x14ac:dyDescent="0.3">
      <c r="A30" s="68" t="s">
        <v>2592</v>
      </c>
      <c r="B30" s="69"/>
      <c r="C30" s="69"/>
      <c r="D30" s="69"/>
      <c r="E30" s="69"/>
      <c r="F30" s="70"/>
      <c r="G30" s="18">
        <f>SUM(G15:G29)</f>
        <v>-435.11759999999998</v>
      </c>
    </row>
    <row r="31" spans="1:9" x14ac:dyDescent="0.25">
      <c r="A31" s="13"/>
      <c r="B31" s="6"/>
      <c r="C31" s="6"/>
      <c r="D31" s="6"/>
      <c r="E31" s="6"/>
      <c r="F31" s="6"/>
      <c r="G31" s="14"/>
    </row>
    <row r="32" spans="1:9" x14ac:dyDescent="0.25">
      <c r="A32" s="56" t="s">
        <v>2593</v>
      </c>
      <c r="B32" s="57"/>
      <c r="C32" s="57"/>
      <c r="D32" s="57"/>
      <c r="E32" s="57"/>
      <c r="F32" s="57"/>
      <c r="G32" s="58"/>
    </row>
    <row r="33" spans="1:7" ht="15.75" thickBot="1" x14ac:dyDescent="0.3">
      <c r="A33" s="59" t="s">
        <v>2589</v>
      </c>
      <c r="B33" s="60"/>
      <c r="C33" s="60"/>
      <c r="D33" s="60"/>
      <c r="E33" s="60"/>
      <c r="F33" s="60"/>
      <c r="G33" s="61"/>
    </row>
  </sheetData>
  <mergeCells count="12">
    <mergeCell ref="A32:G32"/>
    <mergeCell ref="A33:G33"/>
    <mergeCell ref="A4:G4"/>
    <mergeCell ref="A5:G5"/>
    <mergeCell ref="A30:F30"/>
    <mergeCell ref="A11:G11"/>
    <mergeCell ref="A12:G12"/>
    <mergeCell ref="A6:G6"/>
    <mergeCell ref="B9:G9"/>
    <mergeCell ref="B10:G10"/>
    <mergeCell ref="A21:G21"/>
    <mergeCell ref="B8:G8"/>
  </mergeCells>
  <conditionalFormatting sqref="A22:G29 A15:G20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(Hidden)'!$A$1:$A$175</xm:f>
          </x14:formula1>
          <xm:sqref>A15:A20</xm:sqref>
        </x14:dataValidation>
        <x14:dataValidation type="list" allowBlank="1" showInputMessage="1" showErrorMessage="1">
          <x14:formula1>
            <xm:f>'Build Up (Hidden)'!$Q$1:$Q$3</xm:f>
          </x14:formula1>
          <xm:sqref>D22:D29</xm:sqref>
        </x14:dataValidation>
        <x14:dataValidation type="list" allowBlank="1" showInputMessage="1" showErrorMessage="1">
          <x14:formula1>
            <xm:f>'Build Up (Hidden)'!$AA$1:$AA$17</xm:f>
          </x14:formula1>
          <xm:sqref>A22:A29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2671</v>
      </c>
    </row>
    <row r="2" spans="2:4" x14ac:dyDescent="0.25">
      <c r="B2" s="87" t="s">
        <v>2648</v>
      </c>
      <c r="C2" s="87"/>
    </row>
    <row r="3" spans="2:4" x14ac:dyDescent="0.25">
      <c r="B3" s="51">
        <v>566</v>
      </c>
      <c r="C3" s="32" t="s">
        <v>2649</v>
      </c>
    </row>
    <row r="4" spans="2:4" x14ac:dyDescent="0.25">
      <c r="B4" s="51">
        <v>572</v>
      </c>
      <c r="C4" s="32" t="s">
        <v>2650</v>
      </c>
    </row>
    <row r="5" spans="2:4" x14ac:dyDescent="0.25">
      <c r="B5" s="51">
        <v>577</v>
      </c>
      <c r="C5" s="32" t="s">
        <v>2651</v>
      </c>
    </row>
    <row r="7" spans="2:4" x14ac:dyDescent="0.25">
      <c r="B7" s="32" t="s">
        <v>2652</v>
      </c>
      <c r="C7" s="32" t="s">
        <v>2653</v>
      </c>
      <c r="D7" s="32"/>
    </row>
    <row r="8" spans="2:4" x14ac:dyDescent="0.25">
      <c r="B8" s="51" t="s">
        <v>2654</v>
      </c>
      <c r="C8" s="50">
        <v>577</v>
      </c>
      <c r="D8" s="32" t="s">
        <v>2673</v>
      </c>
    </row>
    <row r="9" spans="2:4" x14ac:dyDescent="0.25">
      <c r="B9" s="51" t="s">
        <v>2655</v>
      </c>
      <c r="C9" s="50">
        <v>577</v>
      </c>
      <c r="D9" s="32" t="s">
        <v>2674</v>
      </c>
    </row>
    <row r="10" spans="2:4" x14ac:dyDescent="0.25">
      <c r="B10" s="51" t="s">
        <v>2656</v>
      </c>
      <c r="C10" s="50" t="s">
        <v>2661</v>
      </c>
      <c r="D10" s="32" t="s">
        <v>2675</v>
      </c>
    </row>
    <row r="11" spans="2:4" x14ac:dyDescent="0.25">
      <c r="B11" s="51" t="s">
        <v>2657</v>
      </c>
      <c r="C11" s="50">
        <v>577</v>
      </c>
      <c r="D11" s="32" t="s">
        <v>2672</v>
      </c>
    </row>
    <row r="12" spans="2:4" x14ac:dyDescent="0.25">
      <c r="B12" s="51" t="s">
        <v>2658</v>
      </c>
      <c r="C12" s="50" t="s">
        <v>2661</v>
      </c>
      <c r="D12" s="32" t="s">
        <v>2676</v>
      </c>
    </row>
    <row r="13" spans="2:4" x14ac:dyDescent="0.25">
      <c r="B13" s="51" t="s">
        <v>2659</v>
      </c>
      <c r="C13" s="50" t="s">
        <v>2661</v>
      </c>
      <c r="D13" s="32" t="s">
        <v>2677</v>
      </c>
    </row>
    <row r="14" spans="2:4" x14ac:dyDescent="0.25">
      <c r="B14" s="51" t="s">
        <v>2660</v>
      </c>
      <c r="C14" s="50" t="s">
        <v>2662</v>
      </c>
      <c r="D14" s="32" t="s">
        <v>2678</v>
      </c>
    </row>
    <row r="16" spans="2:4" x14ac:dyDescent="0.25">
      <c r="B16" s="52" t="s">
        <v>2663</v>
      </c>
      <c r="C16" s="33" t="s">
        <v>2664</v>
      </c>
    </row>
    <row r="17" spans="2:3" ht="30" x14ac:dyDescent="0.25">
      <c r="B17" s="52" t="s">
        <v>2665</v>
      </c>
      <c r="C17" s="53" t="s">
        <v>2668</v>
      </c>
    </row>
    <row r="18" spans="2:3" ht="45" x14ac:dyDescent="0.25">
      <c r="B18" s="52" t="s">
        <v>2666</v>
      </c>
      <c r="C18" s="53" t="s">
        <v>2669</v>
      </c>
    </row>
    <row r="19" spans="2:3" ht="30" x14ac:dyDescent="0.25">
      <c r="B19" s="52" t="s">
        <v>2667</v>
      </c>
      <c r="C19" s="53" t="s">
        <v>2670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2018-05-07T22:37:09Z</dcterms:modified>
</cp:coreProperties>
</file>
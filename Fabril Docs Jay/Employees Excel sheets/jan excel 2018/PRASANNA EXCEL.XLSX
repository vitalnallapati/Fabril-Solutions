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2" i="1" l="1"/>
  <c r="K3" i="1" s="1"/>
  <c r="I2" i="1"/>
  <c r="K1" i="1"/>
  <c r="I3" i="1" l="1"/>
</calcChain>
</file>

<file path=xl/sharedStrings.xml><?xml version="1.0" encoding="utf-8"?>
<sst xmlns="http://schemas.openxmlformats.org/spreadsheetml/2006/main" count="75" uniqueCount="51">
  <si>
    <t>LL Order</t>
  </si>
  <si>
    <t>Build &amp; Connect</t>
  </si>
  <si>
    <t>OSB</t>
  </si>
  <si>
    <t>Connect</t>
  </si>
  <si>
    <t>17,BURBURY RDG</t>
  </si>
  <si>
    <t>55,BATTERY RD</t>
  </si>
  <si>
    <t>118,MCGRANTH ST</t>
  </si>
  <si>
    <t>93C,KING ST,TARADALE</t>
  </si>
  <si>
    <t>33,FERGUSON AVE</t>
  </si>
  <si>
    <t>68,BARTON AVE</t>
  </si>
  <si>
    <t>15,BALLIOL AVE</t>
  </si>
  <si>
    <t>94,DUNDEE DVE</t>
  </si>
  <si>
    <t>1/10 james foley ave</t>
  </si>
  <si>
    <t>2/10 james foley ave</t>
  </si>
  <si>
    <t>17/9 HUMBER ST</t>
  </si>
  <si>
    <t>6/23 RIVER BEND RD</t>
  </si>
  <si>
    <t>1004A frederick st, mahora</t>
  </si>
  <si>
    <t>105 ALEXANDRA CRES</t>
  </si>
  <si>
    <t>7 MERTON CRE</t>
  </si>
  <si>
    <t>3 KOWHAI RD,BLUFF HILL</t>
  </si>
  <si>
    <t>DATE</t>
  </si>
  <si>
    <t>SO</t>
  </si>
  <si>
    <t>TYPE</t>
  </si>
  <si>
    <t>ADDRESS</t>
  </si>
  <si>
    <t>AMOUNT</t>
  </si>
  <si>
    <t>NOTES</t>
  </si>
  <si>
    <t>ONLY BUILD</t>
  </si>
  <si>
    <t xml:space="preserve">Build </t>
  </si>
  <si>
    <t>BILL NOT YET PAID UNTIL ONLY 21ST JAN 2018</t>
  </si>
  <si>
    <t xml:space="preserve">TOTAL AMOUNT </t>
  </si>
  <si>
    <t>Top Up</t>
  </si>
  <si>
    <t>64 GEDDIS AVE MARAENUI NAPIER</t>
  </si>
  <si>
    <t>39 HAROLD HOLT AVE ONEKAWA NAPIER</t>
  </si>
  <si>
    <t>PV Order</t>
  </si>
  <si>
    <t>23 NAPIER TCE,NAPIER</t>
  </si>
  <si>
    <t>21,WARD CRES</t>
  </si>
  <si>
    <t>163,FLAXMERE AVE</t>
  </si>
  <si>
    <t>5 COBDEN RD BLUFF</t>
  </si>
  <si>
    <t xml:space="preserve"> OSB</t>
  </si>
  <si>
    <t>611A TOMOANA RD MAHORA HASTINGS</t>
  </si>
  <si>
    <t>502 GRAYS RD SAINT LEONARDS HASTINGS</t>
  </si>
  <si>
    <t>405,SOUTHLAND RD</t>
  </si>
  <si>
    <t>24,DEAL CRES</t>
  </si>
  <si>
    <t>customer cancel</t>
  </si>
  <si>
    <t>done</t>
  </si>
  <si>
    <t>Total</t>
  </si>
  <si>
    <t>To Fabril (60%)</t>
  </si>
  <si>
    <t>Total Hours</t>
  </si>
  <si>
    <t xml:space="preserve">Prasanna (22%) </t>
  </si>
  <si>
    <t xml:space="preserve">Sai(18%) </t>
  </si>
  <si>
    <t>D502/14,WEST QUAY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</si>
</sst>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115" zoomScaleNormal="115" workbookViewId="0">
      <selection activeCell="D22" sqref="D22"/>
    </sheetView>
  </sheetViews>
  <sheetFormatPr defaultRowHeight="15" x14ac:dyDescent="0.25"/>
  <cols>
    <col min="1" max="1" width="10.140625" style="31" bestFit="1" customWidth="1"/>
    <col min="2" max="2" width="8" style="31" bestFit="1" customWidth="1"/>
    <col min="3" max="3" width="14.5703125" style="31" bestFit="1" customWidth="1"/>
    <col min="4" max="4" width="49.85546875" style="31" customWidth="1"/>
    <col min="5" max="5" width="10.140625" style="31" bestFit="1" customWidth="1"/>
    <col min="6" max="6" width="41.5703125" style="31" bestFit="1" customWidth="1"/>
    <col min="7" max="7" width="9.140625" style="1"/>
    <col min="8" max="8" width="18.28515625" style="1" customWidth="1"/>
    <col min="9" max="9" width="9.140625" style="1"/>
    <col min="10" max="10" width="18.42578125" style="1" customWidth="1"/>
    <col min="11" max="16384" width="9.140625" style="1"/>
  </cols>
  <sheetData>
    <row r="1" spans="1:11" x14ac:dyDescent="0.25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 t="s">
        <v>25</v>
      </c>
      <c r="H1" s="2" t="s">
        <v>45</v>
      </c>
      <c r="I1" s="3">
        <v>10690</v>
      </c>
      <c r="J1" s="3" t="s">
        <v>46</v>
      </c>
      <c r="K1" s="14">
        <f>I1*60%</f>
        <v>6414</v>
      </c>
    </row>
    <row r="2" spans="1:11" x14ac:dyDescent="0.25">
      <c r="A2" s="19">
        <v>43024</v>
      </c>
      <c r="B2" s="20">
        <v>2810601</v>
      </c>
      <c r="C2" s="20" t="s">
        <v>30</v>
      </c>
      <c r="D2" s="20" t="s">
        <v>31</v>
      </c>
      <c r="E2" s="18">
        <v>0</v>
      </c>
      <c r="F2" s="20" t="s">
        <v>43</v>
      </c>
      <c r="H2" s="4" t="s">
        <v>48</v>
      </c>
      <c r="I2" s="5">
        <f>I1*22%</f>
        <v>2351.8000000000002</v>
      </c>
      <c r="J2" s="6" t="s">
        <v>49</v>
      </c>
      <c r="K2" s="15">
        <f>I1*18%</f>
        <v>1924.1999999999998</v>
      </c>
    </row>
    <row r="3" spans="1:11" x14ac:dyDescent="0.25">
      <c r="A3" s="19">
        <v>43067</v>
      </c>
      <c r="B3" s="20">
        <v>4389061</v>
      </c>
      <c r="C3" s="20" t="s">
        <v>30</v>
      </c>
      <c r="D3" s="20" t="s">
        <v>32</v>
      </c>
      <c r="E3" s="18">
        <v>0</v>
      </c>
      <c r="F3" s="20" t="s">
        <v>44</v>
      </c>
      <c r="H3" s="7" t="s">
        <v>47</v>
      </c>
      <c r="I3" s="8">
        <f>I2/18.75</f>
        <v>125.42933333333335</v>
      </c>
      <c r="J3" s="8" t="s">
        <v>47</v>
      </c>
      <c r="K3" s="16">
        <f>K2/18.75</f>
        <v>102.624</v>
      </c>
    </row>
    <row r="4" spans="1:11" x14ac:dyDescent="0.25">
      <c r="A4" s="21">
        <v>43071</v>
      </c>
      <c r="B4" s="22">
        <v>4358974</v>
      </c>
      <c r="C4" s="22" t="s">
        <v>33</v>
      </c>
      <c r="D4" s="22" t="s">
        <v>34</v>
      </c>
      <c r="E4" s="23">
        <v>78</v>
      </c>
      <c r="F4" s="22"/>
      <c r="H4" s="7"/>
      <c r="I4" s="8"/>
      <c r="J4" s="8"/>
      <c r="K4" s="16"/>
    </row>
    <row r="5" spans="1:11" x14ac:dyDescent="0.25">
      <c r="A5" s="21">
        <v>43071</v>
      </c>
      <c r="B5" s="22">
        <v>4020329</v>
      </c>
      <c r="C5" s="22" t="s">
        <v>2</v>
      </c>
      <c r="D5" s="22" t="s">
        <v>35</v>
      </c>
      <c r="E5" s="23">
        <v>0</v>
      </c>
      <c r="F5" s="22"/>
      <c r="H5" s="7"/>
      <c r="I5" s="8"/>
      <c r="J5" s="8"/>
      <c r="K5" s="16"/>
    </row>
    <row r="6" spans="1:11" x14ac:dyDescent="0.25">
      <c r="A6" s="24">
        <v>43074</v>
      </c>
      <c r="B6" s="20">
        <v>4223723</v>
      </c>
      <c r="C6" s="20" t="s">
        <v>1</v>
      </c>
      <c r="D6" s="20" t="s">
        <v>36</v>
      </c>
      <c r="E6" s="18">
        <v>881.69</v>
      </c>
      <c r="F6" s="20"/>
      <c r="H6" s="9"/>
      <c r="I6" s="10"/>
      <c r="J6" s="6"/>
      <c r="K6" s="15"/>
    </row>
    <row r="7" spans="1:11" ht="15.75" thickBot="1" x14ac:dyDescent="0.3">
      <c r="A7" s="24">
        <v>43081</v>
      </c>
      <c r="B7" s="20">
        <v>4623689</v>
      </c>
      <c r="C7" s="20" t="s">
        <v>1</v>
      </c>
      <c r="D7" s="20" t="s">
        <v>37</v>
      </c>
      <c r="E7" s="18">
        <v>626.70000000000005</v>
      </c>
      <c r="F7" s="20"/>
      <c r="H7" s="11"/>
      <c r="I7" s="12"/>
      <c r="J7" s="13"/>
      <c r="K7" s="17"/>
    </row>
    <row r="8" spans="1:11" x14ac:dyDescent="0.25">
      <c r="A8" s="19">
        <v>43083</v>
      </c>
      <c r="B8" s="20">
        <v>4670896</v>
      </c>
      <c r="C8" s="20" t="s">
        <v>38</v>
      </c>
      <c r="D8" s="20" t="s">
        <v>39</v>
      </c>
      <c r="E8" s="18">
        <v>429.48</v>
      </c>
      <c r="F8" s="20"/>
    </row>
    <row r="9" spans="1:11" x14ac:dyDescent="0.25">
      <c r="A9" s="24">
        <v>43084</v>
      </c>
      <c r="B9" s="20">
        <v>4666248</v>
      </c>
      <c r="C9" s="25" t="s">
        <v>3</v>
      </c>
      <c r="D9" s="20" t="s">
        <v>40</v>
      </c>
      <c r="E9" s="18">
        <v>205.64</v>
      </c>
      <c r="F9" s="20"/>
    </row>
    <row r="10" spans="1:11" x14ac:dyDescent="0.25">
      <c r="A10" s="24">
        <v>43088</v>
      </c>
      <c r="B10" s="20">
        <v>4780322</v>
      </c>
      <c r="C10" s="20" t="s">
        <v>33</v>
      </c>
      <c r="D10" s="20" t="s">
        <v>41</v>
      </c>
      <c r="E10" s="18">
        <v>78</v>
      </c>
      <c r="F10" s="20"/>
    </row>
    <row r="11" spans="1:11" x14ac:dyDescent="0.25">
      <c r="A11" s="24">
        <v>43092</v>
      </c>
      <c r="B11" s="20">
        <v>4880027</v>
      </c>
      <c r="C11" s="20" t="s">
        <v>1</v>
      </c>
      <c r="D11" s="20" t="s">
        <v>42</v>
      </c>
      <c r="E11" s="18">
        <v>626.70000000000005</v>
      </c>
      <c r="F11" s="20"/>
    </row>
    <row r="12" spans="1:11" x14ac:dyDescent="0.25">
      <c r="A12" s="26">
        <v>43109</v>
      </c>
      <c r="B12" s="27">
        <v>1599264</v>
      </c>
      <c r="C12" s="27" t="s">
        <v>2</v>
      </c>
      <c r="D12" s="27" t="s">
        <v>4</v>
      </c>
      <c r="E12" s="27">
        <v>858.96</v>
      </c>
      <c r="F12" s="8"/>
    </row>
    <row r="13" spans="1:11" x14ac:dyDescent="0.25">
      <c r="A13" s="26">
        <v>43109</v>
      </c>
      <c r="B13" s="27">
        <v>1599264</v>
      </c>
      <c r="C13" s="27" t="s">
        <v>1</v>
      </c>
      <c r="D13" s="27" t="s">
        <v>4</v>
      </c>
      <c r="E13" s="27">
        <v>626.70000000000005</v>
      </c>
      <c r="F13" s="8"/>
    </row>
    <row r="14" spans="1:11" x14ac:dyDescent="0.25">
      <c r="A14" s="26">
        <v>43109</v>
      </c>
      <c r="B14" s="27">
        <v>5102134</v>
      </c>
      <c r="C14" s="27" t="s">
        <v>1</v>
      </c>
      <c r="D14" s="27" t="s">
        <v>5</v>
      </c>
      <c r="E14" s="27">
        <v>626.70000000000005</v>
      </c>
      <c r="F14" s="8"/>
    </row>
    <row r="15" spans="1:11" x14ac:dyDescent="0.25">
      <c r="A15" s="26">
        <v>43110</v>
      </c>
      <c r="B15" s="27">
        <v>5039600</v>
      </c>
      <c r="C15" s="27" t="s">
        <v>1</v>
      </c>
      <c r="D15" s="27" t="s">
        <v>6</v>
      </c>
      <c r="E15" s="27">
        <v>626.70000000000005</v>
      </c>
      <c r="F15" s="8"/>
    </row>
    <row r="16" spans="1:11" x14ac:dyDescent="0.25">
      <c r="A16" s="26">
        <v>43111</v>
      </c>
      <c r="B16" s="27">
        <v>5054531</v>
      </c>
      <c r="C16" s="27" t="s">
        <v>27</v>
      </c>
      <c r="D16" s="27" t="s">
        <v>50</v>
      </c>
      <c r="E16" s="27">
        <v>194.94</v>
      </c>
      <c r="F16" s="18" t="s">
        <v>26</v>
      </c>
    </row>
    <row r="17" spans="1:6" x14ac:dyDescent="0.25">
      <c r="A17" s="26">
        <v>43112</v>
      </c>
      <c r="B17" s="27">
        <v>4980616</v>
      </c>
      <c r="C17" s="27" t="s">
        <v>1</v>
      </c>
      <c r="D17" s="27" t="s">
        <v>7</v>
      </c>
      <c r="E17" s="27">
        <v>433.57</v>
      </c>
      <c r="F17" s="8"/>
    </row>
    <row r="18" spans="1:6" x14ac:dyDescent="0.25">
      <c r="A18" s="26">
        <v>43112</v>
      </c>
      <c r="B18" s="27">
        <v>4722611</v>
      </c>
      <c r="C18" s="27" t="s">
        <v>1</v>
      </c>
      <c r="D18" s="27" t="s">
        <v>8</v>
      </c>
      <c r="E18" s="27">
        <v>498.69</v>
      </c>
      <c r="F18" s="8"/>
    </row>
    <row r="19" spans="1:6" x14ac:dyDescent="0.25">
      <c r="A19" s="26">
        <v>43113</v>
      </c>
      <c r="B19" s="27">
        <v>4555363</v>
      </c>
      <c r="C19" s="27" t="s">
        <v>1</v>
      </c>
      <c r="D19" s="27" t="s">
        <v>9</v>
      </c>
      <c r="E19" s="27">
        <v>626.70000000000005</v>
      </c>
      <c r="F19" s="8"/>
    </row>
    <row r="20" spans="1:6" x14ac:dyDescent="0.25">
      <c r="A20" s="26">
        <v>43113</v>
      </c>
      <c r="B20" s="27">
        <v>4938172</v>
      </c>
      <c r="C20" s="27" t="s">
        <v>1</v>
      </c>
      <c r="D20" s="27" t="s">
        <v>10</v>
      </c>
      <c r="E20" s="27">
        <v>626.70000000000005</v>
      </c>
      <c r="F20" s="8"/>
    </row>
    <row r="21" spans="1:6" x14ac:dyDescent="0.25">
      <c r="A21" s="26">
        <v>43115</v>
      </c>
      <c r="B21" s="27">
        <v>5010510</v>
      </c>
      <c r="C21" s="27" t="s">
        <v>1</v>
      </c>
      <c r="D21" s="27" t="s">
        <v>11</v>
      </c>
      <c r="E21" s="27">
        <v>626.70000000000005</v>
      </c>
      <c r="F21" s="8"/>
    </row>
    <row r="22" spans="1:6" x14ac:dyDescent="0.25">
      <c r="A22" s="26">
        <v>43117</v>
      </c>
      <c r="B22" s="27">
        <v>5191694</v>
      </c>
      <c r="C22" s="27" t="s">
        <v>1</v>
      </c>
      <c r="D22" s="27" t="s">
        <v>12</v>
      </c>
      <c r="E22" s="27">
        <v>433.57</v>
      </c>
      <c r="F22" s="28"/>
    </row>
    <row r="23" spans="1:6" x14ac:dyDescent="0.25">
      <c r="A23" s="26">
        <v>43117</v>
      </c>
      <c r="B23" s="27">
        <v>5222462</v>
      </c>
      <c r="C23" s="27" t="s">
        <v>1</v>
      </c>
      <c r="D23" s="27" t="s">
        <v>13</v>
      </c>
      <c r="E23" s="27">
        <v>433.57</v>
      </c>
      <c r="F23" s="28"/>
    </row>
    <row r="24" spans="1:6" x14ac:dyDescent="0.25">
      <c r="A24" s="26">
        <v>43117</v>
      </c>
      <c r="B24" s="27">
        <v>5210920</v>
      </c>
      <c r="C24" s="27" t="s">
        <v>0</v>
      </c>
      <c r="D24" s="27" t="s">
        <v>14</v>
      </c>
      <c r="E24" s="27">
        <v>90</v>
      </c>
      <c r="F24" s="8"/>
    </row>
    <row r="25" spans="1:6" x14ac:dyDescent="0.25">
      <c r="A25" s="26">
        <v>43119</v>
      </c>
      <c r="B25" s="27">
        <v>4846383</v>
      </c>
      <c r="C25" s="27" t="s">
        <v>1</v>
      </c>
      <c r="D25" s="27" t="s">
        <v>15</v>
      </c>
      <c r="E25" s="27">
        <v>626.70000000000005</v>
      </c>
      <c r="F25" s="8"/>
    </row>
    <row r="26" spans="1:6" x14ac:dyDescent="0.25">
      <c r="A26" s="26">
        <v>43120</v>
      </c>
      <c r="B26" s="27">
        <v>4945713</v>
      </c>
      <c r="C26" s="27" t="s">
        <v>1</v>
      </c>
      <c r="D26" s="27" t="s">
        <v>16</v>
      </c>
      <c r="E26" s="27">
        <v>433.57</v>
      </c>
      <c r="F26" s="8"/>
    </row>
    <row r="27" spans="1:6" x14ac:dyDescent="0.25">
      <c r="A27" s="29">
        <v>43122</v>
      </c>
      <c r="B27" s="30">
        <v>5189350</v>
      </c>
      <c r="C27" s="30" t="s">
        <v>1</v>
      </c>
      <c r="D27" s="30" t="s">
        <v>17</v>
      </c>
      <c r="E27" s="30"/>
      <c r="F27" s="18" t="s">
        <v>28</v>
      </c>
    </row>
    <row r="28" spans="1:6" x14ac:dyDescent="0.25">
      <c r="A28" s="29">
        <v>43122</v>
      </c>
      <c r="B28" s="30">
        <v>5250651</v>
      </c>
      <c r="C28" s="30" t="s">
        <v>3</v>
      </c>
      <c r="D28" s="30" t="s">
        <v>18</v>
      </c>
      <c r="E28" s="30"/>
      <c r="F28" s="18" t="s">
        <v>28</v>
      </c>
    </row>
    <row r="29" spans="1:6" x14ac:dyDescent="0.25">
      <c r="A29" s="29">
        <v>43126</v>
      </c>
      <c r="B29" s="30">
        <v>5219548</v>
      </c>
      <c r="C29" s="30" t="s">
        <v>1</v>
      </c>
      <c r="D29" s="30" t="s">
        <v>19</v>
      </c>
      <c r="E29" s="30"/>
      <c r="F29" s="18" t="s">
        <v>28</v>
      </c>
    </row>
    <row r="31" spans="1:6" x14ac:dyDescent="0.25">
      <c r="D31" s="30" t="s">
        <v>29</v>
      </c>
      <c r="E31" s="18">
        <v>10689.98</v>
      </c>
    </row>
  </sheetData>
  <dataValidations disablePrompts="1" count="1">
    <dataValidation type="list" allowBlank="1" sqref="C2:C11">
      <formula1>"Top Up,LL Order,PV Order,S9,Build,Connect,Build &amp; Connect,Build &amp; Connect &amp; OSB,OSB"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Fabril Solutions</dc:creator>
  <cp:lastModifiedBy>Fabril Solutions</cp:lastModifiedBy>
  <dcterms:created xsi:type="dcterms:W3CDTF">2018-01-30T03:14:54Z</dcterms:created>
  <dcterms:modified xsi:type="dcterms:W3CDTF">2018-03-29T02:02:19Z</dcterms:modified>
</cp:coreProperties>
</file>